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Edge Downloads\project\MCOM Project\02 Working Data\"/>
    </mc:Choice>
  </mc:AlternateContent>
  <xr:revisionPtr revIDLastSave="0" documentId="13_ncr:1_{5B6BF81F-AB1D-4B88-B886-87DAC1988364}" xr6:coauthVersionLast="47" xr6:coauthVersionMax="47" xr10:uidLastSave="{00000000-0000-0000-0000-000000000000}"/>
  <bookViews>
    <workbookView xWindow="-110" yWindow="-110" windowWidth="19420" windowHeight="10300" activeTab="3" xr2:uid="{CE3B819D-25B2-444C-9EDF-0141C0153C61}"/>
  </bookViews>
  <sheets>
    <sheet name="01 Raw data" sheetId="1" r:id="rId1"/>
    <sheet name="02 Dataset Profile" sheetId="5" r:id="rId2"/>
    <sheet name="03 Descriptive Statistics" sheetId="3" r:id="rId3"/>
    <sheet name="04 Relationship Analysis" sheetId="4" r:id="rId4"/>
  </sheet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F8" i="3"/>
  <c r="F7" i="3"/>
  <c r="F6" i="3"/>
  <c r="F4" i="3"/>
  <c r="F5" i="3"/>
  <c r="E8" i="3"/>
  <c r="E7" i="3"/>
  <c r="E6" i="3"/>
  <c r="E4" i="3"/>
  <c r="E5" i="3"/>
  <c r="D8" i="3"/>
  <c r="D7" i="3"/>
  <c r="D6" i="3"/>
  <c r="D4" i="3"/>
  <c r="D5" i="3"/>
  <c r="C4" i="3"/>
  <c r="C8" i="3"/>
  <c r="C7" i="3"/>
  <c r="C6" i="3"/>
  <c r="C5" i="3"/>
</calcChain>
</file>

<file path=xl/sharedStrings.xml><?xml version="1.0" encoding="utf-8"?>
<sst xmlns="http://schemas.openxmlformats.org/spreadsheetml/2006/main" count="1516" uniqueCount="52">
  <si>
    <t>Customer ID</t>
  </si>
  <si>
    <t>Gender</t>
  </si>
  <si>
    <t>Age</t>
  </si>
  <si>
    <t>City</t>
  </si>
  <si>
    <t>Membership Type</t>
  </si>
  <si>
    <t>Total Spend</t>
  </si>
  <si>
    <t>Items Purchased</t>
  </si>
  <si>
    <t>Average Rating</t>
  </si>
  <si>
    <t>Discount Applied</t>
  </si>
  <si>
    <t>Days Since Last Purchase</t>
  </si>
  <si>
    <t>Satisfaction Level</t>
  </si>
  <si>
    <t>Female</t>
  </si>
  <si>
    <t>New York</t>
  </si>
  <si>
    <t>Gold</t>
  </si>
  <si>
    <t>Satisfied</t>
  </si>
  <si>
    <t>Male</t>
  </si>
  <si>
    <t>Los Angeles</t>
  </si>
  <si>
    <t>Silver</t>
  </si>
  <si>
    <t>Neutral</t>
  </si>
  <si>
    <t>Chicago</t>
  </si>
  <si>
    <t>Bronze</t>
  </si>
  <si>
    <t>Unsatisfied</t>
  </si>
  <si>
    <t>San Francisco</t>
  </si>
  <si>
    <t>Miami</t>
  </si>
  <si>
    <t>Houston</t>
  </si>
  <si>
    <t>Grand Total</t>
  </si>
  <si>
    <t>Gender Distribution</t>
  </si>
  <si>
    <t>(blank)</t>
  </si>
  <si>
    <t>Satisfaction Distribution</t>
  </si>
  <si>
    <t>FALSE</t>
  </si>
  <si>
    <t>TRUE</t>
  </si>
  <si>
    <t>City Distribution</t>
  </si>
  <si>
    <t>Membership Distribution</t>
  </si>
  <si>
    <t>DATASET PROFILE</t>
  </si>
  <si>
    <t>Variable</t>
  </si>
  <si>
    <t>Minimum</t>
  </si>
  <si>
    <t>Maximum</t>
  </si>
  <si>
    <t>Mean</t>
  </si>
  <si>
    <t>Median</t>
  </si>
  <si>
    <t>DESCRIPTIVE STATISTICS</t>
  </si>
  <si>
    <t>RELATIONSHIP ANALYSIS</t>
  </si>
  <si>
    <t>Analysis 4.2- Discount Applied vs Satisfaction Level</t>
  </si>
  <si>
    <t>Analysis 4.1- Membership Type vs Satisfaction Level</t>
  </si>
  <si>
    <t>Analysis 4.3- Membership Type vs Average Total Spend</t>
  </si>
  <si>
    <t>Analysis 4.4- Membership Type vs Average Rating</t>
  </si>
  <si>
    <t>Analysis 4.5- Discount Applied vs Average Total Spend</t>
  </si>
  <si>
    <t>Analysis 4.6- City vs Average Total Spend</t>
  </si>
  <si>
    <t>Age Group</t>
  </si>
  <si>
    <t>RAW DATASET</t>
  </si>
  <si>
    <t>Customer Count</t>
  </si>
  <si>
    <t>Average Total Spend</t>
  </si>
  <si>
    <t>Average Customer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</si>
</sst>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3A4F7"/>
        <bgColor indexed="64"/>
      </patternFill>
    </fill>
    <fill>
      <patternFill patternType="solid">
        <fgColor rgb="FFC5D3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pivotButton="1"/>
    <xf numFmtId="0" fontId="19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vertical="center" wrapText="1"/>
    </xf>
    <xf numFmtId="165" fontId="19" fillId="0" borderId="0" xfId="0" applyNumberFormat="1" applyFont="1" applyAlignment="1">
      <alignment vertical="center" wrapText="1"/>
    </xf>
    <xf numFmtId="0" fontId="16" fillId="0" borderId="0" xfId="0" applyFont="1"/>
    <xf numFmtId="0" fontId="21" fillId="3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1" fillId="34" borderId="10" xfId="0" applyFont="1" applyFill="1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0" fillId="0" borderId="0" xfId="0" pivotButton="1" applyAlignment="1">
      <alignment horizontal="center"/>
    </xf>
    <xf numFmtId="164" fontId="0" fillId="0" borderId="0" xfId="0" applyNumberFormat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eamGirl" refreshedDate="46209.519390277776" createdVersion="8" refreshedVersion="8" minRefreshableVersion="3" recordCount="350" xr:uid="{13A1FEF9-EBC4-427E-A329-3F8D147D4A5E}">
  <cacheSource type="worksheet">
    <worksheetSource name="Customer_Analytics"/>
  </cacheSource>
  <cacheFields count="11">
    <cacheField name="Customer ID" numFmtId="0">
      <sharedItems containsSemiMixedTypes="0" containsString="0" containsNumber="1" containsInteger="1" minValue="101" maxValue="450"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6" maxValue="43"/>
    </cacheField>
    <cacheField name="City" numFmtId="0">
      <sharedItems count="6">
        <s v="New York"/>
        <s v="Los Angeles"/>
        <s v="Chicago"/>
        <s v="San Francisco"/>
        <s v="Miami"/>
        <s v="Houston"/>
      </sharedItems>
    </cacheField>
    <cacheField name="Membership Type" numFmtId="0">
      <sharedItems count="3">
        <s v="Gold"/>
        <s v="Silver"/>
        <s v="Bronze"/>
      </sharedItems>
    </cacheField>
    <cacheField name="Total Spend" numFmtId="2">
      <sharedItems containsSemiMixedTypes="0" containsString="0" containsNumber="1" minValue="410.8" maxValue="1520.1"/>
    </cacheField>
    <cacheField name="Items Purchased" numFmtId="0">
      <sharedItems containsSemiMixedTypes="0" containsString="0" containsNumber="1" containsInteger="1" minValue="7" maxValue="21"/>
    </cacheField>
    <cacheField name="Average Rating" numFmtId="0">
      <sharedItems containsSemiMixedTypes="0" containsString="0" containsNumber="1" minValue="3" maxValue="4.9000000000000004" count="20">
        <n v="4.5999999999999996"/>
        <n v="4.0999999999999996"/>
        <n v="3.4"/>
        <n v="4.7"/>
        <n v="4"/>
        <n v="3.1"/>
        <n v="4.5"/>
        <n v="4.2"/>
        <n v="3.6"/>
        <n v="4.8"/>
        <n v="3.8"/>
        <n v="3.2"/>
        <n v="4.3"/>
        <n v="4.4000000000000004"/>
        <n v="3.5"/>
        <n v="4.9000000000000004"/>
        <n v="3.7"/>
        <n v="3"/>
        <n v="3.3"/>
        <n v="3.9"/>
      </sharedItems>
    </cacheField>
    <cacheField name="Discount Applied" numFmtId="0">
      <sharedItems count="2">
        <b v="1"/>
        <b v="0"/>
      </sharedItems>
    </cacheField>
    <cacheField name="Days Since Last Purchase" numFmtId="0">
      <sharedItems containsSemiMixedTypes="0" containsString="0" containsNumber="1" containsInteger="1" minValue="9" maxValue="63"/>
    </cacheField>
    <cacheField name="Satisfaction Level" numFmtId="0">
      <sharedItems containsBlank="1" count="4">
        <s v="Satisfied"/>
        <s v="Neutral"/>
        <s v="Unsatisfi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n v="101"/>
    <x v="0"/>
    <n v="29"/>
    <x v="0"/>
    <x v="0"/>
    <n v="1120.2"/>
    <n v="14"/>
    <x v="0"/>
    <x v="0"/>
    <n v="25"/>
    <x v="0"/>
  </r>
  <r>
    <n v="102"/>
    <x v="1"/>
    <n v="34"/>
    <x v="1"/>
    <x v="1"/>
    <n v="780.5"/>
    <n v="11"/>
    <x v="1"/>
    <x v="1"/>
    <n v="18"/>
    <x v="1"/>
  </r>
  <r>
    <n v="103"/>
    <x v="0"/>
    <n v="43"/>
    <x v="2"/>
    <x v="2"/>
    <n v="510.75"/>
    <n v="9"/>
    <x v="2"/>
    <x v="0"/>
    <n v="42"/>
    <x v="2"/>
  </r>
  <r>
    <n v="104"/>
    <x v="1"/>
    <n v="30"/>
    <x v="3"/>
    <x v="0"/>
    <n v="1480.3"/>
    <n v="19"/>
    <x v="3"/>
    <x v="1"/>
    <n v="12"/>
    <x v="0"/>
  </r>
  <r>
    <n v="105"/>
    <x v="1"/>
    <n v="27"/>
    <x v="4"/>
    <x v="1"/>
    <n v="720.4"/>
    <n v="13"/>
    <x v="4"/>
    <x v="0"/>
    <n v="55"/>
    <x v="2"/>
  </r>
  <r>
    <n v="106"/>
    <x v="0"/>
    <n v="37"/>
    <x v="5"/>
    <x v="2"/>
    <n v="440.8"/>
    <n v="8"/>
    <x v="5"/>
    <x v="1"/>
    <n v="22"/>
    <x v="1"/>
  </r>
  <r>
    <n v="107"/>
    <x v="0"/>
    <n v="31"/>
    <x v="0"/>
    <x v="0"/>
    <n v="1150.5999999999999"/>
    <n v="15"/>
    <x v="6"/>
    <x v="0"/>
    <n v="28"/>
    <x v="0"/>
  </r>
  <r>
    <n v="108"/>
    <x v="1"/>
    <n v="35"/>
    <x v="1"/>
    <x v="1"/>
    <n v="800.9"/>
    <n v="12"/>
    <x v="7"/>
    <x v="1"/>
    <n v="14"/>
    <x v="1"/>
  </r>
  <r>
    <n v="109"/>
    <x v="0"/>
    <n v="41"/>
    <x v="2"/>
    <x v="2"/>
    <n v="495.25"/>
    <n v="10"/>
    <x v="8"/>
    <x v="0"/>
    <n v="40"/>
    <x v="2"/>
  </r>
  <r>
    <n v="110"/>
    <x v="1"/>
    <n v="28"/>
    <x v="3"/>
    <x v="0"/>
    <n v="1520.1"/>
    <n v="21"/>
    <x v="9"/>
    <x v="1"/>
    <n v="9"/>
    <x v="0"/>
  </r>
  <r>
    <n v="111"/>
    <x v="1"/>
    <n v="32"/>
    <x v="4"/>
    <x v="1"/>
    <n v="690.3"/>
    <n v="11"/>
    <x v="10"/>
    <x v="0"/>
    <n v="34"/>
    <x v="2"/>
  </r>
  <r>
    <n v="112"/>
    <x v="0"/>
    <n v="36"/>
    <x v="5"/>
    <x v="2"/>
    <n v="470.5"/>
    <n v="7"/>
    <x v="11"/>
    <x v="1"/>
    <n v="20"/>
    <x v="1"/>
  </r>
  <r>
    <n v="113"/>
    <x v="0"/>
    <n v="30"/>
    <x v="0"/>
    <x v="0"/>
    <n v="1200.8"/>
    <n v="16"/>
    <x v="12"/>
    <x v="0"/>
    <n v="21"/>
    <x v="0"/>
  </r>
  <r>
    <n v="114"/>
    <x v="1"/>
    <n v="33"/>
    <x v="1"/>
    <x v="1"/>
    <n v="820.75"/>
    <n v="13"/>
    <x v="13"/>
    <x v="1"/>
    <n v="15"/>
    <x v="0"/>
  </r>
  <r>
    <n v="115"/>
    <x v="0"/>
    <n v="42"/>
    <x v="2"/>
    <x v="2"/>
    <n v="530.4"/>
    <n v="9"/>
    <x v="14"/>
    <x v="0"/>
    <n v="38"/>
    <x v="2"/>
  </r>
  <r>
    <n v="116"/>
    <x v="1"/>
    <n v="29"/>
    <x v="3"/>
    <x v="0"/>
    <n v="1360.2"/>
    <n v="18"/>
    <x v="15"/>
    <x v="1"/>
    <n v="11"/>
    <x v="0"/>
  </r>
  <r>
    <n v="117"/>
    <x v="1"/>
    <n v="26"/>
    <x v="4"/>
    <x v="1"/>
    <n v="700.6"/>
    <n v="12"/>
    <x v="16"/>
    <x v="0"/>
    <n v="48"/>
    <x v="2"/>
  </r>
  <r>
    <n v="118"/>
    <x v="0"/>
    <n v="38"/>
    <x v="5"/>
    <x v="2"/>
    <n v="450.9"/>
    <n v="8"/>
    <x v="17"/>
    <x v="1"/>
    <n v="25"/>
    <x v="1"/>
  </r>
  <r>
    <n v="119"/>
    <x v="0"/>
    <n v="32"/>
    <x v="0"/>
    <x v="0"/>
    <n v="1170.3"/>
    <n v="14"/>
    <x v="3"/>
    <x v="0"/>
    <n v="29"/>
    <x v="0"/>
  </r>
  <r>
    <n v="120"/>
    <x v="1"/>
    <n v="34"/>
    <x v="1"/>
    <x v="1"/>
    <n v="790.2"/>
    <n v="11"/>
    <x v="4"/>
    <x v="1"/>
    <n v="16"/>
    <x v="1"/>
  </r>
  <r>
    <n v="121"/>
    <x v="0"/>
    <n v="43"/>
    <x v="2"/>
    <x v="2"/>
    <n v="505.75"/>
    <n v="10"/>
    <x v="18"/>
    <x v="0"/>
    <n v="41"/>
    <x v="2"/>
  </r>
  <r>
    <n v="122"/>
    <x v="1"/>
    <n v="30"/>
    <x v="3"/>
    <x v="0"/>
    <n v="1470.5"/>
    <n v="20"/>
    <x v="9"/>
    <x v="1"/>
    <n v="13"/>
    <x v="0"/>
  </r>
  <r>
    <n v="123"/>
    <x v="1"/>
    <n v="27"/>
    <x v="4"/>
    <x v="1"/>
    <n v="710.4"/>
    <n v="13"/>
    <x v="1"/>
    <x v="0"/>
    <n v="54"/>
    <x v="2"/>
  </r>
  <r>
    <n v="124"/>
    <x v="0"/>
    <n v="37"/>
    <x v="5"/>
    <x v="2"/>
    <n v="430.8"/>
    <n v="7"/>
    <x v="2"/>
    <x v="1"/>
    <n v="23"/>
    <x v="1"/>
  </r>
  <r>
    <n v="125"/>
    <x v="0"/>
    <n v="31"/>
    <x v="0"/>
    <x v="0"/>
    <n v="1140.5999999999999"/>
    <n v="15"/>
    <x v="0"/>
    <x v="0"/>
    <n v="27"/>
    <x v="0"/>
  </r>
  <r>
    <n v="126"/>
    <x v="1"/>
    <n v="35"/>
    <x v="1"/>
    <x v="1"/>
    <n v="810.9"/>
    <n v="12"/>
    <x v="12"/>
    <x v="1"/>
    <n v="13"/>
    <x v="1"/>
  </r>
  <r>
    <n v="127"/>
    <x v="0"/>
    <n v="41"/>
    <x v="2"/>
    <x v="2"/>
    <n v="485.25"/>
    <n v="9"/>
    <x v="8"/>
    <x v="0"/>
    <n v="39"/>
    <x v="2"/>
  </r>
  <r>
    <n v="128"/>
    <x v="1"/>
    <n v="28"/>
    <x v="3"/>
    <x v="0"/>
    <n v="1500.1"/>
    <n v="21"/>
    <x v="15"/>
    <x v="1"/>
    <n v="10"/>
    <x v="0"/>
  </r>
  <r>
    <n v="129"/>
    <x v="1"/>
    <n v="32"/>
    <x v="4"/>
    <x v="1"/>
    <n v="670.3"/>
    <n v="10"/>
    <x v="10"/>
    <x v="0"/>
    <n v="33"/>
    <x v="2"/>
  </r>
  <r>
    <n v="130"/>
    <x v="0"/>
    <n v="36"/>
    <x v="5"/>
    <x v="2"/>
    <n v="460.5"/>
    <n v="8"/>
    <x v="5"/>
    <x v="1"/>
    <n v="19"/>
    <x v="1"/>
  </r>
  <r>
    <n v="131"/>
    <x v="0"/>
    <n v="30"/>
    <x v="0"/>
    <x v="0"/>
    <n v="1190.8"/>
    <n v="16"/>
    <x v="6"/>
    <x v="0"/>
    <n v="20"/>
    <x v="0"/>
  </r>
  <r>
    <n v="132"/>
    <x v="1"/>
    <n v="33"/>
    <x v="1"/>
    <x v="1"/>
    <n v="830.75"/>
    <n v="13"/>
    <x v="7"/>
    <x v="1"/>
    <n v="14"/>
    <x v="0"/>
  </r>
  <r>
    <n v="133"/>
    <x v="0"/>
    <n v="42"/>
    <x v="2"/>
    <x v="2"/>
    <n v="520.4"/>
    <n v="9"/>
    <x v="14"/>
    <x v="0"/>
    <n v="37"/>
    <x v="2"/>
  </r>
  <r>
    <n v="134"/>
    <x v="1"/>
    <n v="29"/>
    <x v="3"/>
    <x v="0"/>
    <n v="1370.2"/>
    <n v="18"/>
    <x v="3"/>
    <x v="1"/>
    <n v="10"/>
    <x v="0"/>
  </r>
  <r>
    <n v="135"/>
    <x v="1"/>
    <n v="26"/>
    <x v="4"/>
    <x v="1"/>
    <n v="690.6"/>
    <n v="12"/>
    <x v="19"/>
    <x v="0"/>
    <n v="47"/>
    <x v="2"/>
  </r>
  <r>
    <n v="136"/>
    <x v="0"/>
    <n v="38"/>
    <x v="5"/>
    <x v="2"/>
    <n v="440.9"/>
    <n v="8"/>
    <x v="11"/>
    <x v="1"/>
    <n v="24"/>
    <x v="1"/>
  </r>
  <r>
    <n v="137"/>
    <x v="0"/>
    <n v="32"/>
    <x v="0"/>
    <x v="0"/>
    <n v="1160.3"/>
    <n v="14"/>
    <x v="13"/>
    <x v="0"/>
    <n v="22"/>
    <x v="0"/>
  </r>
  <r>
    <n v="138"/>
    <x v="1"/>
    <n v="34"/>
    <x v="1"/>
    <x v="1"/>
    <n v="800.2"/>
    <n v="11"/>
    <x v="1"/>
    <x v="1"/>
    <n v="17"/>
    <x v="1"/>
  </r>
  <r>
    <n v="139"/>
    <x v="0"/>
    <n v="43"/>
    <x v="2"/>
    <x v="2"/>
    <n v="500.75"/>
    <n v="10"/>
    <x v="18"/>
    <x v="0"/>
    <n v="40"/>
    <x v="2"/>
  </r>
  <r>
    <n v="140"/>
    <x v="1"/>
    <n v="30"/>
    <x v="3"/>
    <x v="0"/>
    <n v="1460.5"/>
    <n v="20"/>
    <x v="9"/>
    <x v="1"/>
    <n v="12"/>
    <x v="0"/>
  </r>
  <r>
    <n v="141"/>
    <x v="1"/>
    <n v="27"/>
    <x v="4"/>
    <x v="1"/>
    <n v="700.4"/>
    <n v="13"/>
    <x v="4"/>
    <x v="0"/>
    <n v="53"/>
    <x v="2"/>
  </r>
  <r>
    <n v="142"/>
    <x v="0"/>
    <n v="37"/>
    <x v="5"/>
    <x v="2"/>
    <n v="420.8"/>
    <n v="7"/>
    <x v="5"/>
    <x v="1"/>
    <n v="21"/>
    <x v="1"/>
  </r>
  <r>
    <n v="143"/>
    <x v="0"/>
    <n v="31"/>
    <x v="0"/>
    <x v="0"/>
    <n v="1130.5999999999999"/>
    <n v="15"/>
    <x v="6"/>
    <x v="0"/>
    <n v="26"/>
    <x v="0"/>
  </r>
  <r>
    <n v="144"/>
    <x v="1"/>
    <n v="35"/>
    <x v="1"/>
    <x v="1"/>
    <n v="820.9"/>
    <n v="12"/>
    <x v="12"/>
    <x v="1"/>
    <n v="12"/>
    <x v="1"/>
  </r>
  <r>
    <n v="145"/>
    <x v="0"/>
    <n v="41"/>
    <x v="2"/>
    <x v="2"/>
    <n v="480.25"/>
    <n v="9"/>
    <x v="8"/>
    <x v="0"/>
    <n v="38"/>
    <x v="2"/>
  </r>
  <r>
    <n v="146"/>
    <x v="1"/>
    <n v="28"/>
    <x v="3"/>
    <x v="0"/>
    <n v="1490.1"/>
    <n v="21"/>
    <x v="15"/>
    <x v="1"/>
    <n v="9"/>
    <x v="0"/>
  </r>
  <r>
    <n v="147"/>
    <x v="1"/>
    <n v="32"/>
    <x v="4"/>
    <x v="1"/>
    <n v="680.3"/>
    <n v="10"/>
    <x v="10"/>
    <x v="0"/>
    <n v="32"/>
    <x v="2"/>
  </r>
  <r>
    <n v="148"/>
    <x v="0"/>
    <n v="36"/>
    <x v="5"/>
    <x v="2"/>
    <n v="470.5"/>
    <n v="8"/>
    <x v="17"/>
    <x v="1"/>
    <n v="18"/>
    <x v="1"/>
  </r>
  <r>
    <n v="149"/>
    <x v="0"/>
    <n v="30"/>
    <x v="0"/>
    <x v="0"/>
    <n v="1180.8"/>
    <n v="16"/>
    <x v="3"/>
    <x v="0"/>
    <n v="19"/>
    <x v="0"/>
  </r>
  <r>
    <n v="150"/>
    <x v="1"/>
    <n v="34"/>
    <x v="1"/>
    <x v="1"/>
    <n v="790.2"/>
    <n v="11"/>
    <x v="4"/>
    <x v="1"/>
    <n v="15"/>
    <x v="1"/>
  </r>
  <r>
    <n v="151"/>
    <x v="0"/>
    <n v="43"/>
    <x v="2"/>
    <x v="2"/>
    <n v="505.75"/>
    <n v="10"/>
    <x v="18"/>
    <x v="0"/>
    <n v="39"/>
    <x v="2"/>
  </r>
  <r>
    <n v="152"/>
    <x v="1"/>
    <n v="30"/>
    <x v="3"/>
    <x v="0"/>
    <n v="1470.5"/>
    <n v="20"/>
    <x v="9"/>
    <x v="1"/>
    <n v="13"/>
    <x v="0"/>
  </r>
  <r>
    <n v="153"/>
    <x v="1"/>
    <n v="27"/>
    <x v="4"/>
    <x v="1"/>
    <n v="710.4"/>
    <n v="13"/>
    <x v="1"/>
    <x v="0"/>
    <n v="54"/>
    <x v="2"/>
  </r>
  <r>
    <n v="154"/>
    <x v="0"/>
    <n v="37"/>
    <x v="5"/>
    <x v="2"/>
    <n v="430.8"/>
    <n v="7"/>
    <x v="2"/>
    <x v="1"/>
    <n v="23"/>
    <x v="1"/>
  </r>
  <r>
    <n v="155"/>
    <x v="0"/>
    <n v="31"/>
    <x v="0"/>
    <x v="0"/>
    <n v="1140.5999999999999"/>
    <n v="15"/>
    <x v="0"/>
    <x v="0"/>
    <n v="27"/>
    <x v="0"/>
  </r>
  <r>
    <n v="156"/>
    <x v="1"/>
    <n v="35"/>
    <x v="1"/>
    <x v="1"/>
    <n v="810.9"/>
    <n v="12"/>
    <x v="12"/>
    <x v="1"/>
    <n v="13"/>
    <x v="1"/>
  </r>
  <r>
    <n v="157"/>
    <x v="0"/>
    <n v="41"/>
    <x v="2"/>
    <x v="2"/>
    <n v="485.25"/>
    <n v="9"/>
    <x v="8"/>
    <x v="0"/>
    <n v="39"/>
    <x v="2"/>
  </r>
  <r>
    <n v="158"/>
    <x v="1"/>
    <n v="28"/>
    <x v="3"/>
    <x v="0"/>
    <n v="1500.1"/>
    <n v="21"/>
    <x v="15"/>
    <x v="1"/>
    <n v="10"/>
    <x v="0"/>
  </r>
  <r>
    <n v="159"/>
    <x v="1"/>
    <n v="32"/>
    <x v="4"/>
    <x v="1"/>
    <n v="670.3"/>
    <n v="10"/>
    <x v="10"/>
    <x v="0"/>
    <n v="33"/>
    <x v="2"/>
  </r>
  <r>
    <n v="160"/>
    <x v="0"/>
    <n v="36"/>
    <x v="5"/>
    <x v="2"/>
    <n v="460.5"/>
    <n v="8"/>
    <x v="5"/>
    <x v="1"/>
    <n v="19"/>
    <x v="1"/>
  </r>
  <r>
    <n v="161"/>
    <x v="0"/>
    <n v="30"/>
    <x v="0"/>
    <x v="0"/>
    <n v="1190.8"/>
    <n v="16"/>
    <x v="6"/>
    <x v="0"/>
    <n v="20"/>
    <x v="0"/>
  </r>
  <r>
    <n v="162"/>
    <x v="1"/>
    <n v="33"/>
    <x v="1"/>
    <x v="1"/>
    <n v="830.75"/>
    <n v="13"/>
    <x v="7"/>
    <x v="1"/>
    <n v="14"/>
    <x v="0"/>
  </r>
  <r>
    <n v="163"/>
    <x v="0"/>
    <n v="42"/>
    <x v="2"/>
    <x v="2"/>
    <n v="520.4"/>
    <n v="9"/>
    <x v="14"/>
    <x v="0"/>
    <n v="37"/>
    <x v="2"/>
  </r>
  <r>
    <n v="164"/>
    <x v="1"/>
    <n v="29"/>
    <x v="3"/>
    <x v="0"/>
    <n v="1370.2"/>
    <n v="18"/>
    <x v="3"/>
    <x v="1"/>
    <n v="10"/>
    <x v="0"/>
  </r>
  <r>
    <n v="165"/>
    <x v="1"/>
    <n v="26"/>
    <x v="4"/>
    <x v="1"/>
    <n v="690.6"/>
    <n v="12"/>
    <x v="19"/>
    <x v="0"/>
    <n v="47"/>
    <x v="2"/>
  </r>
  <r>
    <n v="166"/>
    <x v="0"/>
    <n v="38"/>
    <x v="5"/>
    <x v="2"/>
    <n v="440.9"/>
    <n v="8"/>
    <x v="11"/>
    <x v="1"/>
    <n v="24"/>
    <x v="1"/>
  </r>
  <r>
    <n v="167"/>
    <x v="0"/>
    <n v="32"/>
    <x v="0"/>
    <x v="0"/>
    <n v="1160.3"/>
    <n v="14"/>
    <x v="13"/>
    <x v="0"/>
    <n v="22"/>
    <x v="0"/>
  </r>
  <r>
    <n v="168"/>
    <x v="1"/>
    <n v="34"/>
    <x v="1"/>
    <x v="1"/>
    <n v="800.2"/>
    <n v="11"/>
    <x v="1"/>
    <x v="1"/>
    <n v="17"/>
    <x v="1"/>
  </r>
  <r>
    <n v="169"/>
    <x v="0"/>
    <n v="43"/>
    <x v="2"/>
    <x v="2"/>
    <n v="500.75"/>
    <n v="10"/>
    <x v="18"/>
    <x v="0"/>
    <n v="40"/>
    <x v="2"/>
  </r>
  <r>
    <n v="170"/>
    <x v="1"/>
    <n v="30"/>
    <x v="3"/>
    <x v="0"/>
    <n v="1460.5"/>
    <n v="20"/>
    <x v="9"/>
    <x v="1"/>
    <n v="12"/>
    <x v="0"/>
  </r>
  <r>
    <n v="171"/>
    <x v="1"/>
    <n v="27"/>
    <x v="4"/>
    <x v="1"/>
    <n v="700.4"/>
    <n v="13"/>
    <x v="4"/>
    <x v="0"/>
    <n v="53"/>
    <x v="2"/>
  </r>
  <r>
    <n v="172"/>
    <x v="0"/>
    <n v="37"/>
    <x v="5"/>
    <x v="2"/>
    <n v="420.8"/>
    <n v="7"/>
    <x v="5"/>
    <x v="1"/>
    <n v="21"/>
    <x v="3"/>
  </r>
  <r>
    <n v="173"/>
    <x v="0"/>
    <n v="31"/>
    <x v="0"/>
    <x v="0"/>
    <n v="1130.5999999999999"/>
    <n v="15"/>
    <x v="6"/>
    <x v="0"/>
    <n v="26"/>
    <x v="0"/>
  </r>
  <r>
    <n v="174"/>
    <x v="1"/>
    <n v="35"/>
    <x v="1"/>
    <x v="1"/>
    <n v="820.9"/>
    <n v="12"/>
    <x v="12"/>
    <x v="1"/>
    <n v="12"/>
    <x v="1"/>
  </r>
  <r>
    <n v="175"/>
    <x v="0"/>
    <n v="41"/>
    <x v="2"/>
    <x v="2"/>
    <n v="480.25"/>
    <n v="9"/>
    <x v="8"/>
    <x v="0"/>
    <n v="38"/>
    <x v="2"/>
  </r>
  <r>
    <n v="176"/>
    <x v="1"/>
    <n v="28"/>
    <x v="3"/>
    <x v="0"/>
    <n v="1490.1"/>
    <n v="21"/>
    <x v="15"/>
    <x v="1"/>
    <n v="9"/>
    <x v="0"/>
  </r>
  <r>
    <n v="177"/>
    <x v="1"/>
    <n v="32"/>
    <x v="4"/>
    <x v="1"/>
    <n v="680.3"/>
    <n v="10"/>
    <x v="10"/>
    <x v="0"/>
    <n v="32"/>
    <x v="2"/>
  </r>
  <r>
    <n v="178"/>
    <x v="0"/>
    <n v="36"/>
    <x v="5"/>
    <x v="2"/>
    <n v="470.5"/>
    <n v="8"/>
    <x v="17"/>
    <x v="1"/>
    <n v="18"/>
    <x v="1"/>
  </r>
  <r>
    <n v="179"/>
    <x v="0"/>
    <n v="30"/>
    <x v="0"/>
    <x v="0"/>
    <n v="1180.8"/>
    <n v="16"/>
    <x v="3"/>
    <x v="0"/>
    <n v="19"/>
    <x v="0"/>
  </r>
  <r>
    <n v="180"/>
    <x v="1"/>
    <n v="34"/>
    <x v="1"/>
    <x v="1"/>
    <n v="790.2"/>
    <n v="11"/>
    <x v="4"/>
    <x v="1"/>
    <n v="15"/>
    <x v="1"/>
  </r>
  <r>
    <n v="181"/>
    <x v="0"/>
    <n v="43"/>
    <x v="2"/>
    <x v="2"/>
    <n v="505.75"/>
    <n v="10"/>
    <x v="18"/>
    <x v="0"/>
    <n v="39"/>
    <x v="2"/>
  </r>
  <r>
    <n v="182"/>
    <x v="1"/>
    <n v="30"/>
    <x v="3"/>
    <x v="0"/>
    <n v="1470.5"/>
    <n v="20"/>
    <x v="9"/>
    <x v="1"/>
    <n v="13"/>
    <x v="0"/>
  </r>
  <r>
    <n v="183"/>
    <x v="1"/>
    <n v="27"/>
    <x v="4"/>
    <x v="1"/>
    <n v="710.4"/>
    <n v="13"/>
    <x v="1"/>
    <x v="0"/>
    <n v="54"/>
    <x v="2"/>
  </r>
  <r>
    <n v="184"/>
    <x v="0"/>
    <n v="37"/>
    <x v="5"/>
    <x v="2"/>
    <n v="430.8"/>
    <n v="7"/>
    <x v="2"/>
    <x v="1"/>
    <n v="23"/>
    <x v="1"/>
  </r>
  <r>
    <n v="185"/>
    <x v="0"/>
    <n v="31"/>
    <x v="0"/>
    <x v="0"/>
    <n v="1140.5999999999999"/>
    <n v="15"/>
    <x v="0"/>
    <x v="0"/>
    <n v="27"/>
    <x v="0"/>
  </r>
  <r>
    <n v="186"/>
    <x v="1"/>
    <n v="35"/>
    <x v="1"/>
    <x v="1"/>
    <n v="810.9"/>
    <n v="12"/>
    <x v="12"/>
    <x v="1"/>
    <n v="13"/>
    <x v="1"/>
  </r>
  <r>
    <n v="187"/>
    <x v="0"/>
    <n v="41"/>
    <x v="2"/>
    <x v="2"/>
    <n v="485.25"/>
    <n v="9"/>
    <x v="8"/>
    <x v="0"/>
    <n v="39"/>
    <x v="2"/>
  </r>
  <r>
    <n v="188"/>
    <x v="1"/>
    <n v="28"/>
    <x v="3"/>
    <x v="0"/>
    <n v="1500.1"/>
    <n v="21"/>
    <x v="15"/>
    <x v="1"/>
    <n v="10"/>
    <x v="0"/>
  </r>
  <r>
    <n v="189"/>
    <x v="1"/>
    <n v="32"/>
    <x v="4"/>
    <x v="1"/>
    <n v="670.3"/>
    <n v="10"/>
    <x v="10"/>
    <x v="0"/>
    <n v="33"/>
    <x v="2"/>
  </r>
  <r>
    <n v="190"/>
    <x v="0"/>
    <n v="36"/>
    <x v="5"/>
    <x v="2"/>
    <n v="460.5"/>
    <n v="8"/>
    <x v="5"/>
    <x v="1"/>
    <n v="19"/>
    <x v="1"/>
  </r>
  <r>
    <n v="191"/>
    <x v="0"/>
    <n v="30"/>
    <x v="0"/>
    <x v="0"/>
    <n v="1190.8"/>
    <n v="16"/>
    <x v="6"/>
    <x v="0"/>
    <n v="20"/>
    <x v="0"/>
  </r>
  <r>
    <n v="192"/>
    <x v="1"/>
    <n v="33"/>
    <x v="1"/>
    <x v="1"/>
    <n v="830.75"/>
    <n v="13"/>
    <x v="7"/>
    <x v="1"/>
    <n v="14"/>
    <x v="0"/>
  </r>
  <r>
    <n v="193"/>
    <x v="0"/>
    <n v="42"/>
    <x v="2"/>
    <x v="2"/>
    <n v="520.4"/>
    <n v="9"/>
    <x v="14"/>
    <x v="0"/>
    <n v="37"/>
    <x v="2"/>
  </r>
  <r>
    <n v="194"/>
    <x v="1"/>
    <n v="29"/>
    <x v="3"/>
    <x v="0"/>
    <n v="1370.2"/>
    <n v="18"/>
    <x v="3"/>
    <x v="1"/>
    <n v="10"/>
    <x v="0"/>
  </r>
  <r>
    <n v="195"/>
    <x v="1"/>
    <n v="26"/>
    <x v="4"/>
    <x v="1"/>
    <n v="690.6"/>
    <n v="12"/>
    <x v="19"/>
    <x v="0"/>
    <n v="47"/>
    <x v="2"/>
  </r>
  <r>
    <n v="196"/>
    <x v="0"/>
    <n v="38"/>
    <x v="5"/>
    <x v="2"/>
    <n v="440.9"/>
    <n v="8"/>
    <x v="11"/>
    <x v="1"/>
    <n v="24"/>
    <x v="1"/>
  </r>
  <r>
    <n v="197"/>
    <x v="0"/>
    <n v="32"/>
    <x v="0"/>
    <x v="0"/>
    <n v="1160.3"/>
    <n v="14"/>
    <x v="13"/>
    <x v="0"/>
    <n v="22"/>
    <x v="0"/>
  </r>
  <r>
    <n v="198"/>
    <x v="1"/>
    <n v="34"/>
    <x v="1"/>
    <x v="1"/>
    <n v="800.2"/>
    <n v="11"/>
    <x v="1"/>
    <x v="1"/>
    <n v="17"/>
    <x v="1"/>
  </r>
  <r>
    <n v="199"/>
    <x v="0"/>
    <n v="43"/>
    <x v="2"/>
    <x v="2"/>
    <n v="500.75"/>
    <n v="10"/>
    <x v="18"/>
    <x v="0"/>
    <n v="40"/>
    <x v="2"/>
  </r>
  <r>
    <n v="200"/>
    <x v="1"/>
    <n v="30"/>
    <x v="3"/>
    <x v="0"/>
    <n v="1460.5"/>
    <n v="20"/>
    <x v="9"/>
    <x v="1"/>
    <n v="12"/>
    <x v="0"/>
  </r>
  <r>
    <n v="201"/>
    <x v="1"/>
    <n v="27"/>
    <x v="4"/>
    <x v="1"/>
    <n v="700.4"/>
    <n v="13"/>
    <x v="4"/>
    <x v="0"/>
    <n v="53"/>
    <x v="2"/>
  </r>
  <r>
    <n v="202"/>
    <x v="0"/>
    <n v="37"/>
    <x v="5"/>
    <x v="2"/>
    <n v="420.8"/>
    <n v="7"/>
    <x v="5"/>
    <x v="1"/>
    <n v="21"/>
    <x v="1"/>
  </r>
  <r>
    <n v="203"/>
    <x v="0"/>
    <n v="31"/>
    <x v="0"/>
    <x v="0"/>
    <n v="1130.5999999999999"/>
    <n v="15"/>
    <x v="6"/>
    <x v="0"/>
    <n v="26"/>
    <x v="0"/>
  </r>
  <r>
    <n v="204"/>
    <x v="1"/>
    <n v="35"/>
    <x v="1"/>
    <x v="1"/>
    <n v="820.9"/>
    <n v="12"/>
    <x v="12"/>
    <x v="1"/>
    <n v="12"/>
    <x v="1"/>
  </r>
  <r>
    <n v="205"/>
    <x v="0"/>
    <n v="41"/>
    <x v="2"/>
    <x v="2"/>
    <n v="480.25"/>
    <n v="9"/>
    <x v="8"/>
    <x v="0"/>
    <n v="38"/>
    <x v="2"/>
  </r>
  <r>
    <n v="206"/>
    <x v="1"/>
    <n v="28"/>
    <x v="3"/>
    <x v="0"/>
    <n v="1490.1"/>
    <n v="21"/>
    <x v="15"/>
    <x v="1"/>
    <n v="9"/>
    <x v="0"/>
  </r>
  <r>
    <n v="207"/>
    <x v="1"/>
    <n v="32"/>
    <x v="4"/>
    <x v="1"/>
    <n v="680.3"/>
    <n v="10"/>
    <x v="10"/>
    <x v="0"/>
    <n v="32"/>
    <x v="2"/>
  </r>
  <r>
    <n v="208"/>
    <x v="0"/>
    <n v="36"/>
    <x v="5"/>
    <x v="2"/>
    <n v="470.5"/>
    <n v="8"/>
    <x v="17"/>
    <x v="1"/>
    <n v="18"/>
    <x v="1"/>
  </r>
  <r>
    <n v="209"/>
    <x v="0"/>
    <n v="30"/>
    <x v="0"/>
    <x v="0"/>
    <n v="1180.8"/>
    <n v="16"/>
    <x v="3"/>
    <x v="0"/>
    <n v="19"/>
    <x v="0"/>
  </r>
  <r>
    <n v="210"/>
    <x v="1"/>
    <n v="34"/>
    <x v="1"/>
    <x v="1"/>
    <n v="790.2"/>
    <n v="11"/>
    <x v="4"/>
    <x v="1"/>
    <n v="15"/>
    <x v="1"/>
  </r>
  <r>
    <n v="211"/>
    <x v="0"/>
    <n v="43"/>
    <x v="2"/>
    <x v="2"/>
    <n v="505.75"/>
    <n v="10"/>
    <x v="18"/>
    <x v="0"/>
    <n v="39"/>
    <x v="2"/>
  </r>
  <r>
    <n v="212"/>
    <x v="1"/>
    <n v="30"/>
    <x v="3"/>
    <x v="0"/>
    <n v="1470.5"/>
    <n v="20"/>
    <x v="9"/>
    <x v="1"/>
    <n v="13"/>
    <x v="0"/>
  </r>
  <r>
    <n v="213"/>
    <x v="1"/>
    <n v="27"/>
    <x v="4"/>
    <x v="1"/>
    <n v="710.4"/>
    <n v="13"/>
    <x v="1"/>
    <x v="0"/>
    <n v="54"/>
    <x v="2"/>
  </r>
  <r>
    <n v="214"/>
    <x v="0"/>
    <n v="37"/>
    <x v="5"/>
    <x v="2"/>
    <n v="430.8"/>
    <n v="7"/>
    <x v="2"/>
    <x v="1"/>
    <n v="23"/>
    <x v="1"/>
  </r>
  <r>
    <n v="215"/>
    <x v="0"/>
    <n v="31"/>
    <x v="0"/>
    <x v="0"/>
    <n v="1140.5999999999999"/>
    <n v="15"/>
    <x v="0"/>
    <x v="0"/>
    <n v="27"/>
    <x v="0"/>
  </r>
  <r>
    <n v="216"/>
    <x v="1"/>
    <n v="35"/>
    <x v="1"/>
    <x v="1"/>
    <n v="810.9"/>
    <n v="12"/>
    <x v="12"/>
    <x v="1"/>
    <n v="13"/>
    <x v="1"/>
  </r>
  <r>
    <n v="217"/>
    <x v="0"/>
    <n v="41"/>
    <x v="2"/>
    <x v="2"/>
    <n v="485.25"/>
    <n v="9"/>
    <x v="8"/>
    <x v="0"/>
    <n v="39"/>
    <x v="2"/>
  </r>
  <r>
    <n v="218"/>
    <x v="1"/>
    <n v="28"/>
    <x v="3"/>
    <x v="0"/>
    <n v="1500.1"/>
    <n v="21"/>
    <x v="15"/>
    <x v="1"/>
    <n v="10"/>
    <x v="0"/>
  </r>
  <r>
    <n v="219"/>
    <x v="1"/>
    <n v="32"/>
    <x v="4"/>
    <x v="1"/>
    <n v="670.3"/>
    <n v="10"/>
    <x v="10"/>
    <x v="0"/>
    <n v="33"/>
    <x v="2"/>
  </r>
  <r>
    <n v="220"/>
    <x v="0"/>
    <n v="36"/>
    <x v="5"/>
    <x v="2"/>
    <n v="460.5"/>
    <n v="8"/>
    <x v="5"/>
    <x v="1"/>
    <n v="19"/>
    <x v="1"/>
  </r>
  <r>
    <n v="221"/>
    <x v="0"/>
    <n v="30"/>
    <x v="0"/>
    <x v="0"/>
    <n v="1190.8"/>
    <n v="16"/>
    <x v="6"/>
    <x v="0"/>
    <n v="20"/>
    <x v="0"/>
  </r>
  <r>
    <n v="222"/>
    <x v="1"/>
    <n v="33"/>
    <x v="1"/>
    <x v="1"/>
    <n v="830.75"/>
    <n v="13"/>
    <x v="7"/>
    <x v="1"/>
    <n v="14"/>
    <x v="0"/>
  </r>
  <r>
    <n v="223"/>
    <x v="0"/>
    <n v="42"/>
    <x v="2"/>
    <x v="2"/>
    <n v="520.4"/>
    <n v="9"/>
    <x v="14"/>
    <x v="0"/>
    <n v="37"/>
    <x v="2"/>
  </r>
  <r>
    <n v="224"/>
    <x v="1"/>
    <n v="29"/>
    <x v="3"/>
    <x v="0"/>
    <n v="1370.2"/>
    <n v="18"/>
    <x v="3"/>
    <x v="1"/>
    <n v="10"/>
    <x v="0"/>
  </r>
  <r>
    <n v="225"/>
    <x v="1"/>
    <n v="26"/>
    <x v="4"/>
    <x v="1"/>
    <n v="690.6"/>
    <n v="12"/>
    <x v="19"/>
    <x v="0"/>
    <n v="47"/>
    <x v="2"/>
  </r>
  <r>
    <n v="226"/>
    <x v="0"/>
    <n v="38"/>
    <x v="5"/>
    <x v="2"/>
    <n v="440.9"/>
    <n v="8"/>
    <x v="11"/>
    <x v="1"/>
    <n v="24"/>
    <x v="1"/>
  </r>
  <r>
    <n v="227"/>
    <x v="0"/>
    <n v="32"/>
    <x v="0"/>
    <x v="0"/>
    <n v="1160.3"/>
    <n v="14"/>
    <x v="13"/>
    <x v="0"/>
    <n v="22"/>
    <x v="0"/>
  </r>
  <r>
    <n v="228"/>
    <x v="1"/>
    <n v="34"/>
    <x v="1"/>
    <x v="1"/>
    <n v="800.2"/>
    <n v="11"/>
    <x v="1"/>
    <x v="1"/>
    <n v="17"/>
    <x v="1"/>
  </r>
  <r>
    <n v="229"/>
    <x v="0"/>
    <n v="43"/>
    <x v="2"/>
    <x v="2"/>
    <n v="500.75"/>
    <n v="10"/>
    <x v="18"/>
    <x v="0"/>
    <n v="40"/>
    <x v="2"/>
  </r>
  <r>
    <n v="230"/>
    <x v="1"/>
    <n v="30"/>
    <x v="3"/>
    <x v="0"/>
    <n v="1460.5"/>
    <n v="20"/>
    <x v="9"/>
    <x v="1"/>
    <n v="12"/>
    <x v="0"/>
  </r>
  <r>
    <n v="231"/>
    <x v="1"/>
    <n v="27"/>
    <x v="4"/>
    <x v="1"/>
    <n v="700.4"/>
    <n v="13"/>
    <x v="4"/>
    <x v="0"/>
    <n v="53"/>
    <x v="2"/>
  </r>
  <r>
    <n v="232"/>
    <x v="0"/>
    <n v="37"/>
    <x v="5"/>
    <x v="2"/>
    <n v="420.8"/>
    <n v="7"/>
    <x v="5"/>
    <x v="1"/>
    <n v="21"/>
    <x v="1"/>
  </r>
  <r>
    <n v="233"/>
    <x v="0"/>
    <n v="31"/>
    <x v="0"/>
    <x v="0"/>
    <n v="1130.5999999999999"/>
    <n v="15"/>
    <x v="6"/>
    <x v="0"/>
    <n v="26"/>
    <x v="0"/>
  </r>
  <r>
    <n v="234"/>
    <x v="1"/>
    <n v="35"/>
    <x v="1"/>
    <x v="1"/>
    <n v="820.9"/>
    <n v="12"/>
    <x v="12"/>
    <x v="1"/>
    <n v="12"/>
    <x v="1"/>
  </r>
  <r>
    <n v="235"/>
    <x v="0"/>
    <n v="41"/>
    <x v="2"/>
    <x v="2"/>
    <n v="480.25"/>
    <n v="9"/>
    <x v="8"/>
    <x v="0"/>
    <n v="38"/>
    <x v="2"/>
  </r>
  <r>
    <n v="236"/>
    <x v="1"/>
    <n v="28"/>
    <x v="3"/>
    <x v="0"/>
    <n v="1490.1"/>
    <n v="21"/>
    <x v="15"/>
    <x v="1"/>
    <n v="9"/>
    <x v="0"/>
  </r>
  <r>
    <n v="237"/>
    <x v="1"/>
    <n v="32"/>
    <x v="4"/>
    <x v="1"/>
    <n v="680.3"/>
    <n v="10"/>
    <x v="10"/>
    <x v="0"/>
    <n v="32"/>
    <x v="2"/>
  </r>
  <r>
    <n v="238"/>
    <x v="0"/>
    <n v="36"/>
    <x v="5"/>
    <x v="2"/>
    <n v="470.5"/>
    <n v="8"/>
    <x v="17"/>
    <x v="1"/>
    <n v="18"/>
    <x v="1"/>
  </r>
  <r>
    <n v="239"/>
    <x v="0"/>
    <n v="30"/>
    <x v="0"/>
    <x v="0"/>
    <n v="1180.8"/>
    <n v="16"/>
    <x v="3"/>
    <x v="0"/>
    <n v="19"/>
    <x v="0"/>
  </r>
  <r>
    <n v="240"/>
    <x v="1"/>
    <n v="34"/>
    <x v="1"/>
    <x v="1"/>
    <n v="790.2"/>
    <n v="11"/>
    <x v="4"/>
    <x v="1"/>
    <n v="15"/>
    <x v="1"/>
  </r>
  <r>
    <n v="241"/>
    <x v="0"/>
    <n v="43"/>
    <x v="2"/>
    <x v="2"/>
    <n v="505.75"/>
    <n v="10"/>
    <x v="18"/>
    <x v="0"/>
    <n v="39"/>
    <x v="2"/>
  </r>
  <r>
    <n v="242"/>
    <x v="1"/>
    <n v="30"/>
    <x v="3"/>
    <x v="0"/>
    <n v="1470.5"/>
    <n v="20"/>
    <x v="9"/>
    <x v="1"/>
    <n v="13"/>
    <x v="0"/>
  </r>
  <r>
    <n v="243"/>
    <x v="1"/>
    <n v="27"/>
    <x v="4"/>
    <x v="1"/>
    <n v="710.4"/>
    <n v="13"/>
    <x v="1"/>
    <x v="0"/>
    <n v="54"/>
    <x v="2"/>
  </r>
  <r>
    <n v="244"/>
    <x v="0"/>
    <n v="37"/>
    <x v="5"/>
    <x v="2"/>
    <n v="430.8"/>
    <n v="7"/>
    <x v="2"/>
    <x v="1"/>
    <n v="23"/>
    <x v="3"/>
  </r>
  <r>
    <n v="245"/>
    <x v="0"/>
    <n v="31"/>
    <x v="0"/>
    <x v="0"/>
    <n v="1130.5999999999999"/>
    <n v="15"/>
    <x v="6"/>
    <x v="0"/>
    <n v="26"/>
    <x v="0"/>
  </r>
  <r>
    <n v="246"/>
    <x v="1"/>
    <n v="35"/>
    <x v="1"/>
    <x v="1"/>
    <n v="820.9"/>
    <n v="12"/>
    <x v="12"/>
    <x v="1"/>
    <n v="12"/>
    <x v="1"/>
  </r>
  <r>
    <n v="247"/>
    <x v="0"/>
    <n v="41"/>
    <x v="2"/>
    <x v="2"/>
    <n v="480.25"/>
    <n v="9"/>
    <x v="8"/>
    <x v="0"/>
    <n v="38"/>
    <x v="2"/>
  </r>
  <r>
    <n v="248"/>
    <x v="1"/>
    <n v="28"/>
    <x v="3"/>
    <x v="0"/>
    <n v="1490.1"/>
    <n v="21"/>
    <x v="15"/>
    <x v="1"/>
    <n v="9"/>
    <x v="0"/>
  </r>
  <r>
    <n v="249"/>
    <x v="1"/>
    <n v="32"/>
    <x v="4"/>
    <x v="1"/>
    <n v="680.3"/>
    <n v="10"/>
    <x v="10"/>
    <x v="0"/>
    <n v="32"/>
    <x v="2"/>
  </r>
  <r>
    <n v="250"/>
    <x v="0"/>
    <n v="36"/>
    <x v="5"/>
    <x v="2"/>
    <n v="470.5"/>
    <n v="8"/>
    <x v="17"/>
    <x v="1"/>
    <n v="18"/>
    <x v="1"/>
  </r>
  <r>
    <n v="251"/>
    <x v="0"/>
    <n v="30"/>
    <x v="0"/>
    <x v="0"/>
    <n v="1180.8"/>
    <n v="16"/>
    <x v="3"/>
    <x v="0"/>
    <n v="19"/>
    <x v="0"/>
  </r>
  <r>
    <n v="252"/>
    <x v="1"/>
    <n v="34"/>
    <x v="1"/>
    <x v="1"/>
    <n v="790.2"/>
    <n v="11"/>
    <x v="4"/>
    <x v="1"/>
    <n v="15"/>
    <x v="1"/>
  </r>
  <r>
    <n v="253"/>
    <x v="0"/>
    <n v="43"/>
    <x v="2"/>
    <x v="2"/>
    <n v="505.75"/>
    <n v="10"/>
    <x v="18"/>
    <x v="0"/>
    <n v="39"/>
    <x v="2"/>
  </r>
  <r>
    <n v="254"/>
    <x v="1"/>
    <n v="30"/>
    <x v="3"/>
    <x v="0"/>
    <n v="1470.5"/>
    <n v="20"/>
    <x v="9"/>
    <x v="1"/>
    <n v="13"/>
    <x v="0"/>
  </r>
  <r>
    <n v="255"/>
    <x v="1"/>
    <n v="27"/>
    <x v="4"/>
    <x v="1"/>
    <n v="710.4"/>
    <n v="13"/>
    <x v="1"/>
    <x v="0"/>
    <n v="54"/>
    <x v="2"/>
  </r>
  <r>
    <n v="256"/>
    <x v="0"/>
    <n v="37"/>
    <x v="5"/>
    <x v="2"/>
    <n v="430.8"/>
    <n v="7"/>
    <x v="2"/>
    <x v="1"/>
    <n v="23"/>
    <x v="1"/>
  </r>
  <r>
    <n v="257"/>
    <x v="0"/>
    <n v="31"/>
    <x v="0"/>
    <x v="0"/>
    <n v="1140.5999999999999"/>
    <n v="15"/>
    <x v="0"/>
    <x v="0"/>
    <n v="27"/>
    <x v="0"/>
  </r>
  <r>
    <n v="258"/>
    <x v="1"/>
    <n v="35"/>
    <x v="1"/>
    <x v="1"/>
    <n v="810.9"/>
    <n v="12"/>
    <x v="12"/>
    <x v="1"/>
    <n v="13"/>
    <x v="1"/>
  </r>
  <r>
    <n v="259"/>
    <x v="0"/>
    <n v="41"/>
    <x v="2"/>
    <x v="2"/>
    <n v="485.25"/>
    <n v="9"/>
    <x v="8"/>
    <x v="0"/>
    <n v="39"/>
    <x v="2"/>
  </r>
  <r>
    <n v="260"/>
    <x v="1"/>
    <n v="28"/>
    <x v="3"/>
    <x v="0"/>
    <n v="1500.1"/>
    <n v="21"/>
    <x v="15"/>
    <x v="1"/>
    <n v="10"/>
    <x v="0"/>
  </r>
  <r>
    <n v="261"/>
    <x v="1"/>
    <n v="32"/>
    <x v="4"/>
    <x v="1"/>
    <n v="670.3"/>
    <n v="10"/>
    <x v="10"/>
    <x v="0"/>
    <n v="33"/>
    <x v="2"/>
  </r>
  <r>
    <n v="262"/>
    <x v="0"/>
    <n v="36"/>
    <x v="5"/>
    <x v="2"/>
    <n v="460.5"/>
    <n v="8"/>
    <x v="5"/>
    <x v="1"/>
    <n v="19"/>
    <x v="1"/>
  </r>
  <r>
    <n v="263"/>
    <x v="0"/>
    <n v="30"/>
    <x v="0"/>
    <x v="0"/>
    <n v="1190.8"/>
    <n v="16"/>
    <x v="6"/>
    <x v="0"/>
    <n v="20"/>
    <x v="0"/>
  </r>
  <r>
    <n v="264"/>
    <x v="1"/>
    <n v="33"/>
    <x v="1"/>
    <x v="1"/>
    <n v="830.75"/>
    <n v="13"/>
    <x v="7"/>
    <x v="1"/>
    <n v="14"/>
    <x v="0"/>
  </r>
  <r>
    <n v="265"/>
    <x v="0"/>
    <n v="42"/>
    <x v="2"/>
    <x v="2"/>
    <n v="520.4"/>
    <n v="9"/>
    <x v="14"/>
    <x v="0"/>
    <n v="37"/>
    <x v="2"/>
  </r>
  <r>
    <n v="266"/>
    <x v="1"/>
    <n v="29"/>
    <x v="3"/>
    <x v="0"/>
    <n v="1370.2"/>
    <n v="18"/>
    <x v="3"/>
    <x v="1"/>
    <n v="10"/>
    <x v="0"/>
  </r>
  <r>
    <n v="267"/>
    <x v="1"/>
    <n v="26"/>
    <x v="4"/>
    <x v="1"/>
    <n v="690.6"/>
    <n v="12"/>
    <x v="19"/>
    <x v="0"/>
    <n v="47"/>
    <x v="2"/>
  </r>
  <r>
    <n v="268"/>
    <x v="0"/>
    <n v="38"/>
    <x v="5"/>
    <x v="2"/>
    <n v="440.9"/>
    <n v="8"/>
    <x v="11"/>
    <x v="1"/>
    <n v="24"/>
    <x v="1"/>
  </r>
  <r>
    <n v="269"/>
    <x v="0"/>
    <n v="32"/>
    <x v="0"/>
    <x v="0"/>
    <n v="1160.3"/>
    <n v="14"/>
    <x v="13"/>
    <x v="0"/>
    <n v="22"/>
    <x v="0"/>
  </r>
  <r>
    <n v="270"/>
    <x v="1"/>
    <n v="34"/>
    <x v="1"/>
    <x v="1"/>
    <n v="800.2"/>
    <n v="11"/>
    <x v="1"/>
    <x v="1"/>
    <n v="17"/>
    <x v="1"/>
  </r>
  <r>
    <n v="271"/>
    <x v="0"/>
    <n v="43"/>
    <x v="2"/>
    <x v="2"/>
    <n v="500.75"/>
    <n v="10"/>
    <x v="18"/>
    <x v="0"/>
    <n v="40"/>
    <x v="2"/>
  </r>
  <r>
    <n v="272"/>
    <x v="1"/>
    <n v="30"/>
    <x v="3"/>
    <x v="0"/>
    <n v="1460.5"/>
    <n v="20"/>
    <x v="9"/>
    <x v="1"/>
    <n v="12"/>
    <x v="0"/>
  </r>
  <r>
    <n v="273"/>
    <x v="1"/>
    <n v="27"/>
    <x v="4"/>
    <x v="1"/>
    <n v="700.4"/>
    <n v="13"/>
    <x v="4"/>
    <x v="0"/>
    <n v="53"/>
    <x v="2"/>
  </r>
  <r>
    <n v="274"/>
    <x v="0"/>
    <n v="37"/>
    <x v="5"/>
    <x v="2"/>
    <n v="430.8"/>
    <n v="7"/>
    <x v="2"/>
    <x v="1"/>
    <n v="23"/>
    <x v="1"/>
  </r>
  <r>
    <n v="275"/>
    <x v="0"/>
    <n v="31"/>
    <x v="0"/>
    <x v="0"/>
    <n v="1140.5999999999999"/>
    <n v="15"/>
    <x v="6"/>
    <x v="0"/>
    <n v="27"/>
    <x v="0"/>
  </r>
  <r>
    <n v="276"/>
    <x v="1"/>
    <n v="35"/>
    <x v="1"/>
    <x v="1"/>
    <n v="820.9"/>
    <n v="12"/>
    <x v="12"/>
    <x v="1"/>
    <n v="12"/>
    <x v="1"/>
  </r>
  <r>
    <n v="277"/>
    <x v="0"/>
    <n v="41"/>
    <x v="2"/>
    <x v="2"/>
    <n v="480.25"/>
    <n v="9"/>
    <x v="8"/>
    <x v="0"/>
    <n v="38"/>
    <x v="2"/>
  </r>
  <r>
    <n v="278"/>
    <x v="1"/>
    <n v="28"/>
    <x v="3"/>
    <x v="0"/>
    <n v="1490.1"/>
    <n v="21"/>
    <x v="15"/>
    <x v="1"/>
    <n v="9"/>
    <x v="0"/>
  </r>
  <r>
    <n v="279"/>
    <x v="1"/>
    <n v="32"/>
    <x v="4"/>
    <x v="1"/>
    <n v="680.3"/>
    <n v="10"/>
    <x v="10"/>
    <x v="0"/>
    <n v="32"/>
    <x v="2"/>
  </r>
  <r>
    <n v="280"/>
    <x v="0"/>
    <n v="36"/>
    <x v="5"/>
    <x v="2"/>
    <n v="470.5"/>
    <n v="8"/>
    <x v="17"/>
    <x v="1"/>
    <n v="18"/>
    <x v="1"/>
  </r>
  <r>
    <n v="281"/>
    <x v="0"/>
    <n v="30"/>
    <x v="0"/>
    <x v="0"/>
    <n v="1180.8"/>
    <n v="16"/>
    <x v="3"/>
    <x v="0"/>
    <n v="19"/>
    <x v="0"/>
  </r>
  <r>
    <n v="282"/>
    <x v="1"/>
    <n v="34"/>
    <x v="1"/>
    <x v="1"/>
    <n v="790.2"/>
    <n v="11"/>
    <x v="4"/>
    <x v="1"/>
    <n v="15"/>
    <x v="1"/>
  </r>
  <r>
    <n v="283"/>
    <x v="0"/>
    <n v="43"/>
    <x v="2"/>
    <x v="2"/>
    <n v="505.75"/>
    <n v="10"/>
    <x v="18"/>
    <x v="0"/>
    <n v="39"/>
    <x v="2"/>
  </r>
  <r>
    <n v="284"/>
    <x v="1"/>
    <n v="30"/>
    <x v="3"/>
    <x v="0"/>
    <n v="1470.5"/>
    <n v="20"/>
    <x v="9"/>
    <x v="1"/>
    <n v="13"/>
    <x v="0"/>
  </r>
  <r>
    <n v="285"/>
    <x v="1"/>
    <n v="27"/>
    <x v="4"/>
    <x v="1"/>
    <n v="710.4"/>
    <n v="13"/>
    <x v="1"/>
    <x v="0"/>
    <n v="54"/>
    <x v="2"/>
  </r>
  <r>
    <n v="286"/>
    <x v="0"/>
    <n v="37"/>
    <x v="5"/>
    <x v="2"/>
    <n v="430.8"/>
    <n v="7"/>
    <x v="2"/>
    <x v="1"/>
    <n v="23"/>
    <x v="1"/>
  </r>
  <r>
    <n v="287"/>
    <x v="0"/>
    <n v="31"/>
    <x v="0"/>
    <x v="0"/>
    <n v="1130.5999999999999"/>
    <n v="15"/>
    <x v="6"/>
    <x v="0"/>
    <n v="26"/>
    <x v="0"/>
  </r>
  <r>
    <n v="288"/>
    <x v="1"/>
    <n v="35"/>
    <x v="1"/>
    <x v="1"/>
    <n v="820.9"/>
    <n v="12"/>
    <x v="12"/>
    <x v="1"/>
    <n v="13"/>
    <x v="1"/>
  </r>
  <r>
    <n v="289"/>
    <x v="0"/>
    <n v="41"/>
    <x v="2"/>
    <x v="2"/>
    <n v="485.25"/>
    <n v="9"/>
    <x v="8"/>
    <x v="0"/>
    <n v="39"/>
    <x v="2"/>
  </r>
  <r>
    <n v="290"/>
    <x v="1"/>
    <n v="28"/>
    <x v="3"/>
    <x v="0"/>
    <n v="1500.1"/>
    <n v="21"/>
    <x v="15"/>
    <x v="1"/>
    <n v="10"/>
    <x v="0"/>
  </r>
  <r>
    <n v="291"/>
    <x v="1"/>
    <n v="32"/>
    <x v="4"/>
    <x v="1"/>
    <n v="670.3"/>
    <n v="10"/>
    <x v="10"/>
    <x v="0"/>
    <n v="33"/>
    <x v="2"/>
  </r>
  <r>
    <n v="292"/>
    <x v="0"/>
    <n v="36"/>
    <x v="5"/>
    <x v="2"/>
    <n v="460.5"/>
    <n v="8"/>
    <x v="5"/>
    <x v="1"/>
    <n v="19"/>
    <x v="1"/>
  </r>
  <r>
    <n v="293"/>
    <x v="0"/>
    <n v="30"/>
    <x v="0"/>
    <x v="0"/>
    <n v="1190.8"/>
    <n v="16"/>
    <x v="6"/>
    <x v="0"/>
    <n v="20"/>
    <x v="0"/>
  </r>
  <r>
    <n v="294"/>
    <x v="1"/>
    <n v="33"/>
    <x v="1"/>
    <x v="1"/>
    <n v="830.75"/>
    <n v="13"/>
    <x v="7"/>
    <x v="1"/>
    <n v="14"/>
    <x v="0"/>
  </r>
  <r>
    <n v="295"/>
    <x v="0"/>
    <n v="42"/>
    <x v="2"/>
    <x v="2"/>
    <n v="520.4"/>
    <n v="9"/>
    <x v="14"/>
    <x v="0"/>
    <n v="37"/>
    <x v="2"/>
  </r>
  <r>
    <n v="296"/>
    <x v="1"/>
    <n v="29"/>
    <x v="3"/>
    <x v="0"/>
    <n v="1370.2"/>
    <n v="18"/>
    <x v="3"/>
    <x v="1"/>
    <n v="10"/>
    <x v="0"/>
  </r>
  <r>
    <n v="297"/>
    <x v="1"/>
    <n v="26"/>
    <x v="4"/>
    <x v="1"/>
    <n v="690.6"/>
    <n v="12"/>
    <x v="19"/>
    <x v="0"/>
    <n v="47"/>
    <x v="2"/>
  </r>
  <r>
    <n v="298"/>
    <x v="0"/>
    <n v="38"/>
    <x v="5"/>
    <x v="2"/>
    <n v="440.9"/>
    <n v="8"/>
    <x v="11"/>
    <x v="1"/>
    <n v="24"/>
    <x v="1"/>
  </r>
  <r>
    <n v="299"/>
    <x v="0"/>
    <n v="32"/>
    <x v="0"/>
    <x v="0"/>
    <n v="1160.3"/>
    <n v="14"/>
    <x v="13"/>
    <x v="0"/>
    <n v="22"/>
    <x v="0"/>
  </r>
  <r>
    <n v="300"/>
    <x v="1"/>
    <n v="34"/>
    <x v="1"/>
    <x v="1"/>
    <n v="800.2"/>
    <n v="11"/>
    <x v="1"/>
    <x v="1"/>
    <n v="17"/>
    <x v="1"/>
  </r>
  <r>
    <n v="301"/>
    <x v="1"/>
    <n v="36"/>
    <x v="3"/>
    <x v="0"/>
    <n v="1420.8"/>
    <n v="19"/>
    <x v="0"/>
    <x v="1"/>
    <n v="11"/>
    <x v="0"/>
  </r>
  <r>
    <n v="302"/>
    <x v="0"/>
    <n v="29"/>
    <x v="4"/>
    <x v="1"/>
    <n v="730.4"/>
    <n v="14"/>
    <x v="4"/>
    <x v="0"/>
    <n v="50"/>
    <x v="2"/>
  </r>
  <r>
    <n v="303"/>
    <x v="0"/>
    <n v="35"/>
    <x v="5"/>
    <x v="2"/>
    <n v="450.6"/>
    <n v="7"/>
    <x v="18"/>
    <x v="1"/>
    <n v="21"/>
    <x v="1"/>
  </r>
  <r>
    <n v="304"/>
    <x v="1"/>
    <n v="31"/>
    <x v="0"/>
    <x v="0"/>
    <n v="1210.5999999999999"/>
    <n v="17"/>
    <x v="9"/>
    <x v="0"/>
    <n v="18"/>
    <x v="0"/>
  </r>
  <r>
    <n v="305"/>
    <x v="1"/>
    <n v="27"/>
    <x v="1"/>
    <x v="1"/>
    <n v="780.9"/>
    <n v="11"/>
    <x v="7"/>
    <x v="1"/>
    <n v="16"/>
    <x v="1"/>
  </r>
  <r>
    <n v="306"/>
    <x v="0"/>
    <n v="42"/>
    <x v="2"/>
    <x v="2"/>
    <n v="495.25"/>
    <n v="10"/>
    <x v="14"/>
    <x v="0"/>
    <n v="35"/>
    <x v="2"/>
  </r>
  <r>
    <n v="307"/>
    <x v="1"/>
    <n v="29"/>
    <x v="3"/>
    <x v="0"/>
    <n v="1390.2"/>
    <n v="18"/>
    <x v="3"/>
    <x v="1"/>
    <n v="9"/>
    <x v="0"/>
  </r>
  <r>
    <n v="308"/>
    <x v="1"/>
    <n v="26"/>
    <x v="4"/>
    <x v="1"/>
    <n v="670.6"/>
    <n v="12"/>
    <x v="19"/>
    <x v="0"/>
    <n v="46"/>
    <x v="2"/>
  </r>
  <r>
    <n v="309"/>
    <x v="0"/>
    <n v="38"/>
    <x v="5"/>
    <x v="2"/>
    <n v="460.9"/>
    <n v="8"/>
    <x v="11"/>
    <x v="1"/>
    <n v="25"/>
    <x v="1"/>
  </r>
  <r>
    <n v="310"/>
    <x v="0"/>
    <n v="32"/>
    <x v="0"/>
    <x v="0"/>
    <n v="1170.3"/>
    <n v="14"/>
    <x v="6"/>
    <x v="0"/>
    <n v="21"/>
    <x v="0"/>
  </r>
  <r>
    <n v="311"/>
    <x v="1"/>
    <n v="34"/>
    <x v="1"/>
    <x v="1"/>
    <n v="810.2"/>
    <n v="11"/>
    <x v="4"/>
    <x v="1"/>
    <n v="14"/>
    <x v="1"/>
  </r>
  <r>
    <n v="312"/>
    <x v="0"/>
    <n v="43"/>
    <x v="2"/>
    <x v="2"/>
    <n v="515.75"/>
    <n v="9"/>
    <x v="18"/>
    <x v="0"/>
    <n v="38"/>
    <x v="2"/>
  </r>
  <r>
    <n v="313"/>
    <x v="1"/>
    <n v="30"/>
    <x v="3"/>
    <x v="0"/>
    <n v="1450.5"/>
    <n v="20"/>
    <x v="9"/>
    <x v="1"/>
    <n v="12"/>
    <x v="0"/>
  </r>
  <r>
    <n v="314"/>
    <x v="1"/>
    <n v="27"/>
    <x v="4"/>
    <x v="1"/>
    <n v="690.4"/>
    <n v="13"/>
    <x v="1"/>
    <x v="0"/>
    <n v="52"/>
    <x v="2"/>
  </r>
  <r>
    <n v="315"/>
    <x v="0"/>
    <n v="37"/>
    <x v="5"/>
    <x v="2"/>
    <n v="420.8"/>
    <n v="7"/>
    <x v="2"/>
    <x v="1"/>
    <n v="24"/>
    <x v="1"/>
  </r>
  <r>
    <n v="316"/>
    <x v="0"/>
    <n v="31"/>
    <x v="0"/>
    <x v="0"/>
    <n v="1130.5999999999999"/>
    <n v="15"/>
    <x v="6"/>
    <x v="0"/>
    <n v="26"/>
    <x v="0"/>
  </r>
  <r>
    <n v="317"/>
    <x v="1"/>
    <n v="35"/>
    <x v="1"/>
    <x v="1"/>
    <n v="820.9"/>
    <n v="12"/>
    <x v="12"/>
    <x v="1"/>
    <n v="13"/>
    <x v="1"/>
  </r>
  <r>
    <n v="318"/>
    <x v="0"/>
    <n v="41"/>
    <x v="2"/>
    <x v="2"/>
    <n v="480.25"/>
    <n v="9"/>
    <x v="8"/>
    <x v="0"/>
    <n v="39"/>
    <x v="2"/>
  </r>
  <r>
    <n v="319"/>
    <x v="1"/>
    <n v="28"/>
    <x v="3"/>
    <x v="0"/>
    <n v="1490.1"/>
    <n v="21"/>
    <x v="15"/>
    <x v="1"/>
    <n v="9"/>
    <x v="0"/>
  </r>
  <r>
    <n v="320"/>
    <x v="1"/>
    <n v="32"/>
    <x v="4"/>
    <x v="1"/>
    <n v="680.3"/>
    <n v="10"/>
    <x v="10"/>
    <x v="0"/>
    <n v="32"/>
    <x v="2"/>
  </r>
  <r>
    <n v="321"/>
    <x v="0"/>
    <n v="36"/>
    <x v="5"/>
    <x v="2"/>
    <n v="470.5"/>
    <n v="8"/>
    <x v="17"/>
    <x v="1"/>
    <n v="18"/>
    <x v="1"/>
  </r>
  <r>
    <n v="322"/>
    <x v="0"/>
    <n v="30"/>
    <x v="0"/>
    <x v="0"/>
    <n v="1180.8"/>
    <n v="16"/>
    <x v="3"/>
    <x v="0"/>
    <n v="19"/>
    <x v="0"/>
  </r>
  <r>
    <n v="323"/>
    <x v="1"/>
    <n v="34"/>
    <x v="1"/>
    <x v="1"/>
    <n v="790.2"/>
    <n v="11"/>
    <x v="4"/>
    <x v="1"/>
    <n v="15"/>
    <x v="1"/>
  </r>
  <r>
    <n v="324"/>
    <x v="0"/>
    <n v="43"/>
    <x v="2"/>
    <x v="2"/>
    <n v="505.75"/>
    <n v="10"/>
    <x v="18"/>
    <x v="0"/>
    <n v="39"/>
    <x v="2"/>
  </r>
  <r>
    <n v="325"/>
    <x v="1"/>
    <n v="30"/>
    <x v="3"/>
    <x v="0"/>
    <n v="1470.5"/>
    <n v="20"/>
    <x v="9"/>
    <x v="1"/>
    <n v="13"/>
    <x v="0"/>
  </r>
  <r>
    <n v="326"/>
    <x v="1"/>
    <n v="27"/>
    <x v="4"/>
    <x v="1"/>
    <n v="710.4"/>
    <n v="13"/>
    <x v="1"/>
    <x v="0"/>
    <n v="54"/>
    <x v="2"/>
  </r>
  <r>
    <n v="327"/>
    <x v="0"/>
    <n v="37"/>
    <x v="5"/>
    <x v="2"/>
    <n v="430.8"/>
    <n v="7"/>
    <x v="2"/>
    <x v="1"/>
    <n v="23"/>
    <x v="1"/>
  </r>
  <r>
    <n v="328"/>
    <x v="0"/>
    <n v="31"/>
    <x v="0"/>
    <x v="0"/>
    <n v="1140.5999999999999"/>
    <n v="15"/>
    <x v="6"/>
    <x v="0"/>
    <n v="27"/>
    <x v="0"/>
  </r>
  <r>
    <n v="329"/>
    <x v="1"/>
    <n v="35"/>
    <x v="1"/>
    <x v="1"/>
    <n v="820.9"/>
    <n v="12"/>
    <x v="12"/>
    <x v="1"/>
    <n v="13"/>
    <x v="1"/>
  </r>
  <r>
    <n v="330"/>
    <x v="0"/>
    <n v="41"/>
    <x v="2"/>
    <x v="2"/>
    <n v="485.25"/>
    <n v="9"/>
    <x v="8"/>
    <x v="0"/>
    <n v="39"/>
    <x v="2"/>
  </r>
  <r>
    <n v="331"/>
    <x v="1"/>
    <n v="28"/>
    <x v="3"/>
    <x v="0"/>
    <n v="1500.1"/>
    <n v="21"/>
    <x v="15"/>
    <x v="1"/>
    <n v="10"/>
    <x v="0"/>
  </r>
  <r>
    <n v="332"/>
    <x v="1"/>
    <n v="32"/>
    <x v="4"/>
    <x v="1"/>
    <n v="670.3"/>
    <n v="10"/>
    <x v="10"/>
    <x v="0"/>
    <n v="33"/>
    <x v="2"/>
  </r>
  <r>
    <n v="333"/>
    <x v="0"/>
    <n v="36"/>
    <x v="5"/>
    <x v="2"/>
    <n v="460.5"/>
    <n v="8"/>
    <x v="5"/>
    <x v="1"/>
    <n v="19"/>
    <x v="1"/>
  </r>
  <r>
    <n v="334"/>
    <x v="0"/>
    <n v="30"/>
    <x v="0"/>
    <x v="0"/>
    <n v="1190.8"/>
    <n v="16"/>
    <x v="6"/>
    <x v="0"/>
    <n v="20"/>
    <x v="0"/>
  </r>
  <r>
    <n v="335"/>
    <x v="1"/>
    <n v="33"/>
    <x v="1"/>
    <x v="1"/>
    <n v="830.75"/>
    <n v="13"/>
    <x v="7"/>
    <x v="1"/>
    <n v="14"/>
    <x v="0"/>
  </r>
  <r>
    <n v="336"/>
    <x v="0"/>
    <n v="42"/>
    <x v="2"/>
    <x v="2"/>
    <n v="520.4"/>
    <n v="9"/>
    <x v="14"/>
    <x v="0"/>
    <n v="37"/>
    <x v="2"/>
  </r>
  <r>
    <n v="337"/>
    <x v="1"/>
    <n v="29"/>
    <x v="3"/>
    <x v="0"/>
    <n v="1370.2"/>
    <n v="18"/>
    <x v="3"/>
    <x v="1"/>
    <n v="10"/>
    <x v="0"/>
  </r>
  <r>
    <n v="338"/>
    <x v="1"/>
    <n v="26"/>
    <x v="4"/>
    <x v="1"/>
    <n v="690.6"/>
    <n v="12"/>
    <x v="19"/>
    <x v="0"/>
    <n v="47"/>
    <x v="2"/>
  </r>
  <r>
    <n v="339"/>
    <x v="0"/>
    <n v="38"/>
    <x v="5"/>
    <x v="2"/>
    <n v="440.9"/>
    <n v="8"/>
    <x v="11"/>
    <x v="1"/>
    <n v="24"/>
    <x v="1"/>
  </r>
  <r>
    <n v="340"/>
    <x v="0"/>
    <n v="32"/>
    <x v="0"/>
    <x v="0"/>
    <n v="1160.3"/>
    <n v="14"/>
    <x v="13"/>
    <x v="0"/>
    <n v="22"/>
    <x v="0"/>
  </r>
  <r>
    <n v="341"/>
    <x v="1"/>
    <n v="34"/>
    <x v="1"/>
    <x v="1"/>
    <n v="800.2"/>
    <n v="11"/>
    <x v="1"/>
    <x v="1"/>
    <n v="17"/>
    <x v="1"/>
  </r>
  <r>
    <n v="342"/>
    <x v="0"/>
    <n v="43"/>
    <x v="2"/>
    <x v="2"/>
    <n v="525.75"/>
    <n v="9"/>
    <x v="18"/>
    <x v="0"/>
    <n v="40"/>
    <x v="2"/>
  </r>
  <r>
    <n v="343"/>
    <x v="1"/>
    <n v="30"/>
    <x v="3"/>
    <x v="0"/>
    <n v="1460.5"/>
    <n v="20"/>
    <x v="9"/>
    <x v="1"/>
    <n v="11"/>
    <x v="0"/>
  </r>
  <r>
    <n v="344"/>
    <x v="1"/>
    <n v="27"/>
    <x v="4"/>
    <x v="1"/>
    <n v="720.4"/>
    <n v="13"/>
    <x v="4"/>
    <x v="0"/>
    <n v="55"/>
    <x v="2"/>
  </r>
  <r>
    <n v="345"/>
    <x v="0"/>
    <n v="37"/>
    <x v="5"/>
    <x v="2"/>
    <n v="440.8"/>
    <n v="7"/>
    <x v="11"/>
    <x v="1"/>
    <n v="25"/>
    <x v="1"/>
  </r>
  <r>
    <n v="346"/>
    <x v="0"/>
    <n v="31"/>
    <x v="0"/>
    <x v="0"/>
    <n v="1150.5999999999999"/>
    <n v="15"/>
    <x v="6"/>
    <x v="0"/>
    <n v="28"/>
    <x v="0"/>
  </r>
  <r>
    <n v="347"/>
    <x v="1"/>
    <n v="35"/>
    <x v="1"/>
    <x v="1"/>
    <n v="830.9"/>
    <n v="12"/>
    <x v="12"/>
    <x v="1"/>
    <n v="14"/>
    <x v="1"/>
  </r>
  <r>
    <n v="348"/>
    <x v="0"/>
    <n v="41"/>
    <x v="2"/>
    <x v="2"/>
    <n v="490.25"/>
    <n v="9"/>
    <x v="8"/>
    <x v="0"/>
    <n v="40"/>
    <x v="2"/>
  </r>
  <r>
    <n v="349"/>
    <x v="1"/>
    <n v="28"/>
    <x v="3"/>
    <x v="0"/>
    <n v="1480.1"/>
    <n v="21"/>
    <x v="15"/>
    <x v="1"/>
    <n v="10"/>
    <x v="0"/>
  </r>
  <r>
    <n v="350"/>
    <x v="1"/>
    <n v="32"/>
    <x v="4"/>
    <x v="1"/>
    <n v="690.3"/>
    <n v="10"/>
    <x v="10"/>
    <x v="0"/>
    <n v="34"/>
    <x v="2"/>
  </r>
  <r>
    <n v="351"/>
    <x v="0"/>
    <n v="36"/>
    <x v="5"/>
    <x v="2"/>
    <n v="480.5"/>
    <n v="8"/>
    <x v="5"/>
    <x v="1"/>
    <n v="20"/>
    <x v="1"/>
  </r>
  <r>
    <n v="352"/>
    <x v="0"/>
    <n v="30"/>
    <x v="0"/>
    <x v="0"/>
    <n v="1170.8"/>
    <n v="16"/>
    <x v="3"/>
    <x v="0"/>
    <n v="21"/>
    <x v="0"/>
  </r>
  <r>
    <n v="353"/>
    <x v="1"/>
    <n v="34"/>
    <x v="1"/>
    <x v="1"/>
    <n v="790.2"/>
    <n v="11"/>
    <x v="4"/>
    <x v="1"/>
    <n v="15"/>
    <x v="1"/>
  </r>
  <r>
    <n v="354"/>
    <x v="0"/>
    <n v="43"/>
    <x v="2"/>
    <x v="2"/>
    <n v="510.75"/>
    <n v="10"/>
    <x v="18"/>
    <x v="0"/>
    <n v="41"/>
    <x v="2"/>
  </r>
  <r>
    <n v="355"/>
    <x v="1"/>
    <n v="30"/>
    <x v="3"/>
    <x v="0"/>
    <n v="1440.5"/>
    <n v="19"/>
    <x v="0"/>
    <x v="1"/>
    <n v="12"/>
    <x v="0"/>
  </r>
  <r>
    <n v="356"/>
    <x v="1"/>
    <n v="27"/>
    <x v="4"/>
    <x v="1"/>
    <n v="700.4"/>
    <n v="13"/>
    <x v="1"/>
    <x v="0"/>
    <n v="56"/>
    <x v="2"/>
  </r>
  <r>
    <n v="357"/>
    <x v="0"/>
    <n v="37"/>
    <x v="5"/>
    <x v="2"/>
    <n v="410.8"/>
    <n v="7"/>
    <x v="2"/>
    <x v="1"/>
    <n v="26"/>
    <x v="1"/>
  </r>
  <r>
    <n v="358"/>
    <x v="0"/>
    <n v="31"/>
    <x v="0"/>
    <x v="0"/>
    <n v="1160.5999999999999"/>
    <n v="15"/>
    <x v="6"/>
    <x v="0"/>
    <n v="29"/>
    <x v="0"/>
  </r>
  <r>
    <n v="359"/>
    <x v="1"/>
    <n v="35"/>
    <x v="1"/>
    <x v="1"/>
    <n v="810.9"/>
    <n v="12"/>
    <x v="12"/>
    <x v="1"/>
    <n v="14"/>
    <x v="1"/>
  </r>
  <r>
    <n v="360"/>
    <x v="0"/>
    <n v="41"/>
    <x v="2"/>
    <x v="2"/>
    <n v="495.25"/>
    <n v="9"/>
    <x v="8"/>
    <x v="0"/>
    <n v="41"/>
    <x v="2"/>
  </r>
  <r>
    <n v="361"/>
    <x v="1"/>
    <n v="28"/>
    <x v="3"/>
    <x v="0"/>
    <n v="1490.1"/>
    <n v="21"/>
    <x v="15"/>
    <x v="1"/>
    <n v="10"/>
    <x v="0"/>
  </r>
  <r>
    <n v="362"/>
    <x v="1"/>
    <n v="32"/>
    <x v="4"/>
    <x v="1"/>
    <n v="660.3"/>
    <n v="10"/>
    <x v="10"/>
    <x v="0"/>
    <n v="35"/>
    <x v="2"/>
  </r>
  <r>
    <n v="363"/>
    <x v="0"/>
    <n v="36"/>
    <x v="5"/>
    <x v="2"/>
    <n v="430.5"/>
    <n v="8"/>
    <x v="5"/>
    <x v="1"/>
    <n v="21"/>
    <x v="1"/>
  </r>
  <r>
    <n v="364"/>
    <x v="0"/>
    <n v="30"/>
    <x v="0"/>
    <x v="0"/>
    <n v="1200.8"/>
    <n v="16"/>
    <x v="3"/>
    <x v="0"/>
    <n v="22"/>
    <x v="0"/>
  </r>
  <r>
    <n v="365"/>
    <x v="1"/>
    <n v="34"/>
    <x v="1"/>
    <x v="1"/>
    <n v="780.2"/>
    <n v="11"/>
    <x v="1"/>
    <x v="1"/>
    <n v="16"/>
    <x v="1"/>
  </r>
  <r>
    <n v="366"/>
    <x v="0"/>
    <n v="43"/>
    <x v="2"/>
    <x v="2"/>
    <n v="505.75"/>
    <n v="10"/>
    <x v="18"/>
    <x v="0"/>
    <n v="42"/>
    <x v="2"/>
  </r>
  <r>
    <n v="367"/>
    <x v="1"/>
    <n v="30"/>
    <x v="3"/>
    <x v="0"/>
    <n v="1460.5"/>
    <n v="20"/>
    <x v="9"/>
    <x v="1"/>
    <n v="13"/>
    <x v="0"/>
  </r>
  <r>
    <n v="368"/>
    <x v="1"/>
    <n v="27"/>
    <x v="4"/>
    <x v="1"/>
    <n v="710.4"/>
    <n v="13"/>
    <x v="1"/>
    <x v="0"/>
    <n v="57"/>
    <x v="2"/>
  </r>
  <r>
    <n v="369"/>
    <x v="0"/>
    <n v="37"/>
    <x v="5"/>
    <x v="2"/>
    <n v="450.8"/>
    <n v="7"/>
    <x v="2"/>
    <x v="1"/>
    <n v="24"/>
    <x v="1"/>
  </r>
  <r>
    <n v="370"/>
    <x v="0"/>
    <n v="31"/>
    <x v="0"/>
    <x v="0"/>
    <n v="1140.5999999999999"/>
    <n v="15"/>
    <x v="6"/>
    <x v="0"/>
    <n v="30"/>
    <x v="0"/>
  </r>
  <r>
    <n v="371"/>
    <x v="1"/>
    <n v="35"/>
    <x v="1"/>
    <x v="1"/>
    <n v="800.9"/>
    <n v="12"/>
    <x v="1"/>
    <x v="1"/>
    <n v="17"/>
    <x v="1"/>
  </r>
  <r>
    <n v="372"/>
    <x v="0"/>
    <n v="41"/>
    <x v="2"/>
    <x v="2"/>
    <n v="475.25"/>
    <n v="9"/>
    <x v="8"/>
    <x v="0"/>
    <n v="42"/>
    <x v="2"/>
  </r>
  <r>
    <n v="373"/>
    <x v="1"/>
    <n v="28"/>
    <x v="3"/>
    <x v="0"/>
    <n v="1480.1"/>
    <n v="21"/>
    <x v="15"/>
    <x v="1"/>
    <n v="11"/>
    <x v="0"/>
  </r>
  <r>
    <n v="374"/>
    <x v="1"/>
    <n v="32"/>
    <x v="4"/>
    <x v="1"/>
    <n v="660.3"/>
    <n v="10"/>
    <x v="10"/>
    <x v="0"/>
    <n v="36"/>
    <x v="2"/>
  </r>
  <r>
    <n v="375"/>
    <x v="0"/>
    <n v="36"/>
    <x v="5"/>
    <x v="2"/>
    <n v="470.5"/>
    <n v="8"/>
    <x v="17"/>
    <x v="1"/>
    <n v="22"/>
    <x v="1"/>
  </r>
  <r>
    <n v="376"/>
    <x v="0"/>
    <n v="30"/>
    <x v="0"/>
    <x v="0"/>
    <n v="1190.8"/>
    <n v="16"/>
    <x v="6"/>
    <x v="0"/>
    <n v="23"/>
    <x v="0"/>
  </r>
  <r>
    <n v="377"/>
    <x v="1"/>
    <n v="33"/>
    <x v="1"/>
    <x v="1"/>
    <n v="770.2"/>
    <n v="11"/>
    <x v="7"/>
    <x v="1"/>
    <n v="18"/>
    <x v="1"/>
  </r>
  <r>
    <n v="378"/>
    <x v="0"/>
    <n v="43"/>
    <x v="2"/>
    <x v="2"/>
    <n v="515.75"/>
    <n v="10"/>
    <x v="18"/>
    <x v="0"/>
    <n v="43"/>
    <x v="2"/>
  </r>
  <r>
    <n v="379"/>
    <x v="1"/>
    <n v="30"/>
    <x v="3"/>
    <x v="0"/>
    <n v="1450.5"/>
    <n v="19"/>
    <x v="0"/>
    <x v="1"/>
    <n v="12"/>
    <x v="0"/>
  </r>
  <r>
    <n v="380"/>
    <x v="1"/>
    <n v="27"/>
    <x v="4"/>
    <x v="1"/>
    <n v="710.4"/>
    <n v="13"/>
    <x v="1"/>
    <x v="0"/>
    <n v="58"/>
    <x v="2"/>
  </r>
  <r>
    <n v="381"/>
    <x v="0"/>
    <n v="37"/>
    <x v="5"/>
    <x v="2"/>
    <n v="430.8"/>
    <n v="7"/>
    <x v="2"/>
    <x v="1"/>
    <n v="27"/>
    <x v="1"/>
  </r>
  <r>
    <n v="382"/>
    <x v="0"/>
    <n v="31"/>
    <x v="0"/>
    <x v="0"/>
    <n v="1160.5999999999999"/>
    <n v="15"/>
    <x v="6"/>
    <x v="0"/>
    <n v="31"/>
    <x v="0"/>
  </r>
  <r>
    <n v="383"/>
    <x v="1"/>
    <n v="35"/>
    <x v="1"/>
    <x v="1"/>
    <n v="820.9"/>
    <n v="12"/>
    <x v="12"/>
    <x v="1"/>
    <n v="15"/>
    <x v="1"/>
  </r>
  <r>
    <n v="384"/>
    <x v="0"/>
    <n v="41"/>
    <x v="2"/>
    <x v="2"/>
    <n v="495.25"/>
    <n v="9"/>
    <x v="8"/>
    <x v="0"/>
    <n v="43"/>
    <x v="2"/>
  </r>
  <r>
    <n v="385"/>
    <x v="1"/>
    <n v="28"/>
    <x v="3"/>
    <x v="0"/>
    <n v="1490.1"/>
    <n v="21"/>
    <x v="15"/>
    <x v="1"/>
    <n v="10"/>
    <x v="0"/>
  </r>
  <r>
    <n v="386"/>
    <x v="1"/>
    <n v="32"/>
    <x v="4"/>
    <x v="1"/>
    <n v="660.3"/>
    <n v="10"/>
    <x v="10"/>
    <x v="0"/>
    <n v="37"/>
    <x v="2"/>
  </r>
  <r>
    <n v="387"/>
    <x v="0"/>
    <n v="36"/>
    <x v="5"/>
    <x v="2"/>
    <n v="440.5"/>
    <n v="8"/>
    <x v="5"/>
    <x v="1"/>
    <n v="23"/>
    <x v="1"/>
  </r>
  <r>
    <n v="388"/>
    <x v="0"/>
    <n v="30"/>
    <x v="0"/>
    <x v="0"/>
    <n v="1200.8"/>
    <n v="16"/>
    <x v="3"/>
    <x v="0"/>
    <n v="24"/>
    <x v="0"/>
  </r>
  <r>
    <n v="389"/>
    <x v="1"/>
    <n v="34"/>
    <x v="1"/>
    <x v="1"/>
    <n v="780.2"/>
    <n v="11"/>
    <x v="1"/>
    <x v="1"/>
    <n v="16"/>
    <x v="1"/>
  </r>
  <r>
    <n v="390"/>
    <x v="0"/>
    <n v="43"/>
    <x v="2"/>
    <x v="2"/>
    <n v="505.75"/>
    <n v="10"/>
    <x v="18"/>
    <x v="0"/>
    <n v="44"/>
    <x v="2"/>
  </r>
  <r>
    <n v="391"/>
    <x v="1"/>
    <n v="30"/>
    <x v="3"/>
    <x v="0"/>
    <n v="1460.5"/>
    <n v="20"/>
    <x v="9"/>
    <x v="1"/>
    <n v="13"/>
    <x v="0"/>
  </r>
  <r>
    <n v="392"/>
    <x v="1"/>
    <n v="27"/>
    <x v="4"/>
    <x v="1"/>
    <n v="710.4"/>
    <n v="13"/>
    <x v="1"/>
    <x v="0"/>
    <n v="59"/>
    <x v="2"/>
  </r>
  <r>
    <n v="393"/>
    <x v="0"/>
    <n v="37"/>
    <x v="5"/>
    <x v="2"/>
    <n v="450.8"/>
    <n v="7"/>
    <x v="2"/>
    <x v="1"/>
    <n v="28"/>
    <x v="1"/>
  </r>
  <r>
    <n v="394"/>
    <x v="0"/>
    <n v="31"/>
    <x v="0"/>
    <x v="0"/>
    <n v="1140.5999999999999"/>
    <n v="15"/>
    <x v="6"/>
    <x v="0"/>
    <n v="32"/>
    <x v="0"/>
  </r>
  <r>
    <n v="395"/>
    <x v="1"/>
    <n v="35"/>
    <x v="1"/>
    <x v="1"/>
    <n v="800.9"/>
    <n v="12"/>
    <x v="1"/>
    <x v="1"/>
    <n v="17"/>
    <x v="1"/>
  </r>
  <r>
    <n v="396"/>
    <x v="0"/>
    <n v="41"/>
    <x v="2"/>
    <x v="2"/>
    <n v="475.25"/>
    <n v="9"/>
    <x v="8"/>
    <x v="0"/>
    <n v="44"/>
    <x v="2"/>
  </r>
  <r>
    <n v="397"/>
    <x v="1"/>
    <n v="28"/>
    <x v="3"/>
    <x v="0"/>
    <n v="1480.1"/>
    <n v="21"/>
    <x v="15"/>
    <x v="1"/>
    <n v="12"/>
    <x v="0"/>
  </r>
  <r>
    <n v="398"/>
    <x v="1"/>
    <n v="32"/>
    <x v="4"/>
    <x v="1"/>
    <n v="660.3"/>
    <n v="10"/>
    <x v="10"/>
    <x v="0"/>
    <n v="38"/>
    <x v="2"/>
  </r>
  <r>
    <n v="399"/>
    <x v="0"/>
    <n v="36"/>
    <x v="5"/>
    <x v="2"/>
    <n v="470.5"/>
    <n v="8"/>
    <x v="17"/>
    <x v="1"/>
    <n v="22"/>
    <x v="1"/>
  </r>
  <r>
    <n v="400"/>
    <x v="0"/>
    <n v="30"/>
    <x v="0"/>
    <x v="0"/>
    <n v="1190.8"/>
    <n v="16"/>
    <x v="6"/>
    <x v="0"/>
    <n v="25"/>
    <x v="0"/>
  </r>
  <r>
    <n v="401"/>
    <x v="1"/>
    <n v="33"/>
    <x v="1"/>
    <x v="1"/>
    <n v="800.2"/>
    <n v="11"/>
    <x v="1"/>
    <x v="1"/>
    <n v="18"/>
    <x v="1"/>
  </r>
  <r>
    <n v="402"/>
    <x v="0"/>
    <n v="43"/>
    <x v="2"/>
    <x v="2"/>
    <n v="515.75"/>
    <n v="10"/>
    <x v="18"/>
    <x v="0"/>
    <n v="45"/>
    <x v="2"/>
  </r>
  <r>
    <n v="403"/>
    <x v="1"/>
    <n v="30"/>
    <x v="3"/>
    <x v="0"/>
    <n v="1450.5"/>
    <n v="19"/>
    <x v="0"/>
    <x v="1"/>
    <n v="13"/>
    <x v="0"/>
  </r>
  <r>
    <n v="404"/>
    <x v="1"/>
    <n v="27"/>
    <x v="4"/>
    <x v="1"/>
    <n v="710.4"/>
    <n v="13"/>
    <x v="1"/>
    <x v="0"/>
    <n v="60"/>
    <x v="2"/>
  </r>
  <r>
    <n v="405"/>
    <x v="0"/>
    <n v="37"/>
    <x v="5"/>
    <x v="2"/>
    <n v="430.8"/>
    <n v="7"/>
    <x v="2"/>
    <x v="1"/>
    <n v="29"/>
    <x v="1"/>
  </r>
  <r>
    <n v="406"/>
    <x v="0"/>
    <n v="31"/>
    <x v="0"/>
    <x v="0"/>
    <n v="1160.5999999999999"/>
    <n v="15"/>
    <x v="6"/>
    <x v="0"/>
    <n v="33"/>
    <x v="0"/>
  </r>
  <r>
    <n v="407"/>
    <x v="1"/>
    <n v="35"/>
    <x v="1"/>
    <x v="1"/>
    <n v="820.9"/>
    <n v="12"/>
    <x v="12"/>
    <x v="1"/>
    <n v="16"/>
    <x v="1"/>
  </r>
  <r>
    <n v="408"/>
    <x v="0"/>
    <n v="41"/>
    <x v="2"/>
    <x v="2"/>
    <n v="495.25"/>
    <n v="9"/>
    <x v="8"/>
    <x v="0"/>
    <n v="45"/>
    <x v="2"/>
  </r>
  <r>
    <n v="409"/>
    <x v="1"/>
    <n v="28"/>
    <x v="3"/>
    <x v="0"/>
    <n v="1490.1"/>
    <n v="21"/>
    <x v="15"/>
    <x v="1"/>
    <n v="11"/>
    <x v="0"/>
  </r>
  <r>
    <n v="410"/>
    <x v="1"/>
    <n v="32"/>
    <x v="4"/>
    <x v="1"/>
    <n v="660.3"/>
    <n v="10"/>
    <x v="10"/>
    <x v="0"/>
    <n v="39"/>
    <x v="2"/>
  </r>
  <r>
    <n v="411"/>
    <x v="0"/>
    <n v="36"/>
    <x v="5"/>
    <x v="2"/>
    <n v="440.5"/>
    <n v="8"/>
    <x v="5"/>
    <x v="1"/>
    <n v="24"/>
    <x v="1"/>
  </r>
  <r>
    <n v="412"/>
    <x v="0"/>
    <n v="30"/>
    <x v="0"/>
    <x v="0"/>
    <n v="1200.8"/>
    <n v="16"/>
    <x v="3"/>
    <x v="0"/>
    <n v="25"/>
    <x v="0"/>
  </r>
  <r>
    <n v="413"/>
    <x v="1"/>
    <n v="34"/>
    <x v="1"/>
    <x v="1"/>
    <n v="780.2"/>
    <n v="11"/>
    <x v="1"/>
    <x v="1"/>
    <n v="17"/>
    <x v="1"/>
  </r>
  <r>
    <n v="414"/>
    <x v="0"/>
    <n v="43"/>
    <x v="2"/>
    <x v="2"/>
    <n v="505.75"/>
    <n v="10"/>
    <x v="18"/>
    <x v="0"/>
    <n v="46"/>
    <x v="2"/>
  </r>
  <r>
    <n v="415"/>
    <x v="1"/>
    <n v="30"/>
    <x v="3"/>
    <x v="0"/>
    <n v="1460.5"/>
    <n v="20"/>
    <x v="9"/>
    <x v="1"/>
    <n v="14"/>
    <x v="0"/>
  </r>
  <r>
    <n v="416"/>
    <x v="1"/>
    <n v="27"/>
    <x v="4"/>
    <x v="1"/>
    <n v="710.4"/>
    <n v="13"/>
    <x v="1"/>
    <x v="0"/>
    <n v="61"/>
    <x v="2"/>
  </r>
  <r>
    <n v="417"/>
    <x v="0"/>
    <n v="37"/>
    <x v="5"/>
    <x v="2"/>
    <n v="450.8"/>
    <n v="7"/>
    <x v="2"/>
    <x v="1"/>
    <n v="30"/>
    <x v="1"/>
  </r>
  <r>
    <n v="418"/>
    <x v="0"/>
    <n v="31"/>
    <x v="0"/>
    <x v="0"/>
    <n v="1140.5999999999999"/>
    <n v="15"/>
    <x v="6"/>
    <x v="0"/>
    <n v="34"/>
    <x v="0"/>
  </r>
  <r>
    <n v="419"/>
    <x v="1"/>
    <n v="35"/>
    <x v="1"/>
    <x v="1"/>
    <n v="800.9"/>
    <n v="12"/>
    <x v="1"/>
    <x v="1"/>
    <n v="19"/>
    <x v="1"/>
  </r>
  <r>
    <n v="420"/>
    <x v="0"/>
    <n v="41"/>
    <x v="2"/>
    <x v="2"/>
    <n v="475.25"/>
    <n v="9"/>
    <x v="8"/>
    <x v="0"/>
    <n v="46"/>
    <x v="2"/>
  </r>
  <r>
    <n v="421"/>
    <x v="1"/>
    <n v="28"/>
    <x v="3"/>
    <x v="0"/>
    <n v="1480.1"/>
    <n v="21"/>
    <x v="15"/>
    <x v="1"/>
    <n v="12"/>
    <x v="0"/>
  </r>
  <r>
    <n v="422"/>
    <x v="1"/>
    <n v="32"/>
    <x v="4"/>
    <x v="1"/>
    <n v="660.3"/>
    <n v="10"/>
    <x v="10"/>
    <x v="0"/>
    <n v="40"/>
    <x v="2"/>
  </r>
  <r>
    <n v="423"/>
    <x v="0"/>
    <n v="36"/>
    <x v="5"/>
    <x v="2"/>
    <n v="470.5"/>
    <n v="8"/>
    <x v="17"/>
    <x v="1"/>
    <n v="26"/>
    <x v="1"/>
  </r>
  <r>
    <n v="424"/>
    <x v="0"/>
    <n v="30"/>
    <x v="0"/>
    <x v="0"/>
    <n v="1190.8"/>
    <n v="16"/>
    <x v="6"/>
    <x v="0"/>
    <n v="27"/>
    <x v="0"/>
  </r>
  <r>
    <n v="425"/>
    <x v="1"/>
    <n v="34"/>
    <x v="1"/>
    <x v="1"/>
    <n v="780.2"/>
    <n v="11"/>
    <x v="7"/>
    <x v="1"/>
    <n v="18"/>
    <x v="1"/>
  </r>
  <r>
    <n v="426"/>
    <x v="0"/>
    <n v="43"/>
    <x v="2"/>
    <x v="2"/>
    <n v="515.75"/>
    <n v="10"/>
    <x v="18"/>
    <x v="0"/>
    <n v="47"/>
    <x v="2"/>
  </r>
  <r>
    <n v="427"/>
    <x v="1"/>
    <n v="30"/>
    <x v="3"/>
    <x v="0"/>
    <n v="1450.5"/>
    <n v="19"/>
    <x v="0"/>
    <x v="1"/>
    <n v="14"/>
    <x v="0"/>
  </r>
  <r>
    <n v="428"/>
    <x v="1"/>
    <n v="27"/>
    <x v="4"/>
    <x v="1"/>
    <n v="710.4"/>
    <n v="13"/>
    <x v="1"/>
    <x v="0"/>
    <n v="62"/>
    <x v="2"/>
  </r>
  <r>
    <n v="429"/>
    <x v="0"/>
    <n v="37"/>
    <x v="5"/>
    <x v="2"/>
    <n v="430.8"/>
    <n v="7"/>
    <x v="2"/>
    <x v="1"/>
    <n v="31"/>
    <x v="1"/>
  </r>
  <r>
    <n v="430"/>
    <x v="0"/>
    <n v="31"/>
    <x v="0"/>
    <x v="0"/>
    <n v="1160.5999999999999"/>
    <n v="15"/>
    <x v="6"/>
    <x v="0"/>
    <n v="35"/>
    <x v="0"/>
  </r>
  <r>
    <n v="431"/>
    <x v="1"/>
    <n v="35"/>
    <x v="1"/>
    <x v="1"/>
    <n v="820.9"/>
    <n v="12"/>
    <x v="12"/>
    <x v="1"/>
    <n v="20"/>
    <x v="1"/>
  </r>
  <r>
    <n v="432"/>
    <x v="0"/>
    <n v="41"/>
    <x v="2"/>
    <x v="2"/>
    <n v="495.25"/>
    <n v="9"/>
    <x v="8"/>
    <x v="0"/>
    <n v="47"/>
    <x v="2"/>
  </r>
  <r>
    <n v="433"/>
    <x v="1"/>
    <n v="28"/>
    <x v="3"/>
    <x v="0"/>
    <n v="1490.1"/>
    <n v="21"/>
    <x v="15"/>
    <x v="1"/>
    <n v="11"/>
    <x v="0"/>
  </r>
  <r>
    <n v="434"/>
    <x v="1"/>
    <n v="32"/>
    <x v="4"/>
    <x v="1"/>
    <n v="660.3"/>
    <n v="10"/>
    <x v="10"/>
    <x v="0"/>
    <n v="41"/>
    <x v="2"/>
  </r>
  <r>
    <n v="435"/>
    <x v="0"/>
    <n v="36"/>
    <x v="5"/>
    <x v="2"/>
    <n v="440.5"/>
    <n v="8"/>
    <x v="5"/>
    <x v="1"/>
    <n v="28"/>
    <x v="1"/>
  </r>
  <r>
    <n v="436"/>
    <x v="0"/>
    <n v="30"/>
    <x v="0"/>
    <x v="0"/>
    <n v="1200.8"/>
    <n v="16"/>
    <x v="3"/>
    <x v="0"/>
    <n v="28"/>
    <x v="0"/>
  </r>
  <r>
    <n v="437"/>
    <x v="1"/>
    <n v="34"/>
    <x v="1"/>
    <x v="1"/>
    <n v="780.2"/>
    <n v="11"/>
    <x v="1"/>
    <x v="1"/>
    <n v="19"/>
    <x v="1"/>
  </r>
  <r>
    <n v="438"/>
    <x v="0"/>
    <n v="43"/>
    <x v="2"/>
    <x v="2"/>
    <n v="505.75"/>
    <n v="10"/>
    <x v="18"/>
    <x v="0"/>
    <n v="48"/>
    <x v="2"/>
  </r>
  <r>
    <n v="439"/>
    <x v="1"/>
    <n v="30"/>
    <x v="3"/>
    <x v="0"/>
    <n v="1460.5"/>
    <n v="20"/>
    <x v="9"/>
    <x v="1"/>
    <n v="15"/>
    <x v="0"/>
  </r>
  <r>
    <n v="440"/>
    <x v="1"/>
    <n v="27"/>
    <x v="4"/>
    <x v="1"/>
    <n v="710.4"/>
    <n v="13"/>
    <x v="1"/>
    <x v="0"/>
    <n v="63"/>
    <x v="2"/>
  </r>
  <r>
    <n v="441"/>
    <x v="0"/>
    <n v="37"/>
    <x v="5"/>
    <x v="2"/>
    <n v="450.8"/>
    <n v="7"/>
    <x v="2"/>
    <x v="1"/>
    <n v="32"/>
    <x v="1"/>
  </r>
  <r>
    <n v="442"/>
    <x v="0"/>
    <n v="31"/>
    <x v="0"/>
    <x v="0"/>
    <n v="1140.5999999999999"/>
    <n v="15"/>
    <x v="6"/>
    <x v="0"/>
    <n v="36"/>
    <x v="0"/>
  </r>
  <r>
    <n v="443"/>
    <x v="1"/>
    <n v="35"/>
    <x v="1"/>
    <x v="1"/>
    <n v="800.9"/>
    <n v="12"/>
    <x v="1"/>
    <x v="1"/>
    <n v="20"/>
    <x v="1"/>
  </r>
  <r>
    <n v="444"/>
    <x v="0"/>
    <n v="41"/>
    <x v="2"/>
    <x v="2"/>
    <n v="475.25"/>
    <n v="9"/>
    <x v="8"/>
    <x v="0"/>
    <n v="48"/>
    <x v="2"/>
  </r>
  <r>
    <n v="445"/>
    <x v="1"/>
    <n v="28"/>
    <x v="3"/>
    <x v="0"/>
    <n v="1480.1"/>
    <n v="21"/>
    <x v="15"/>
    <x v="1"/>
    <n v="13"/>
    <x v="0"/>
  </r>
  <r>
    <n v="446"/>
    <x v="1"/>
    <n v="32"/>
    <x v="4"/>
    <x v="1"/>
    <n v="660.3"/>
    <n v="10"/>
    <x v="10"/>
    <x v="0"/>
    <n v="42"/>
    <x v="2"/>
  </r>
  <r>
    <n v="447"/>
    <x v="0"/>
    <n v="36"/>
    <x v="5"/>
    <x v="2"/>
    <n v="470.5"/>
    <n v="8"/>
    <x v="17"/>
    <x v="1"/>
    <n v="27"/>
    <x v="1"/>
  </r>
  <r>
    <n v="448"/>
    <x v="0"/>
    <n v="30"/>
    <x v="0"/>
    <x v="0"/>
    <n v="1190.8"/>
    <n v="16"/>
    <x v="6"/>
    <x v="0"/>
    <n v="28"/>
    <x v="0"/>
  </r>
  <r>
    <n v="449"/>
    <x v="1"/>
    <n v="34"/>
    <x v="1"/>
    <x v="1"/>
    <n v="780.2"/>
    <n v="11"/>
    <x v="7"/>
    <x v="1"/>
    <n v="21"/>
    <x v="1"/>
  </r>
  <r>
    <n v="450"/>
    <x v="0"/>
    <n v="43"/>
    <x v="2"/>
    <x v="2"/>
    <n v="515.75"/>
    <n v="10"/>
    <x v="18"/>
    <x v="0"/>
    <n v="4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98C86-A8B4-432B-88A9-7B5CCD6B81D3}" name="Gender_Distribu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7" firstHeaderRow="1" firstDataRow="1" firstDataCol="1"/>
  <pivotFields count="11"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ustomer Count" fld="0" subtotal="count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39515-5456-49EA-B186-0064499886B8}" name="City_Distribu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4:H11" firstHeaderRow="1" firstDataRow="1" firstDataCol="1"/>
  <pivotFields count="11">
    <pivotField dataField="1" compact="0" outline="0" showAll="0"/>
    <pivotField compact="0" outline="0" showAll="0"/>
    <pivotField compact="0" outline="0" showAll="0"/>
    <pivotField axis="axisRow" compact="0" outline="0" showAll="0">
      <items count="7">
        <item x="2"/>
        <item x="5"/>
        <item x="1"/>
        <item x="4"/>
        <item x="0"/>
        <item x="3"/>
        <item t="default"/>
      </items>
    </pivotField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stomer Count" fld="0" subtotal="count" baseField="3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46D18-E5FC-43F6-A93A-34D2C06C908A}" name="Discount_Applie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3:E16" firstHeaderRow="1" firstDataRow="1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ustomer Count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54AF3-F825-4078-AC07-E2FC36FF15FC}" name="Satisfaction_Distribu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4:E9" firstHeaderRow="1" firstDataRow="1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stomer Count" fld="0" subtotal="count" baseField="1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ED98F-C751-4E7F-9B82-4E1C31B6E4BE}" name="Mmebership_Distribu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:B15" firstHeaderRow="1" firstDataRow="1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stomer Count" fld="0" subtotal="count" baseField="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0126C-8076-4ACD-964B-5EADCE181661}" name="Analysis4.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12:I16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numFmtId="2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Customer Rating" fld="7" subtotal="average" baseField="4" baseItem="0"/>
  </dataFields>
  <formats count="7">
    <format dxfId="59">
      <pivotArea collapsedLevelsAreSubtotals="1" fieldPosition="0">
        <references count="1">
          <reference field="4" count="0"/>
        </references>
      </pivotArea>
    </format>
    <format dxfId="48">
      <pivotArea outline="0" fieldPosition="0">
        <references count="1">
          <reference field="4" count="0" selected="0"/>
        </references>
      </pivotArea>
    </format>
    <format dxfId="47">
      <pivotArea field="4" type="button" dataOnly="0" labelOnly="1" outline="0" axis="axisRow" fieldPosition="0"/>
    </format>
    <format dxfId="46">
      <pivotArea dataOnly="0" labelOnly="1" outline="0" fieldPosition="0">
        <references count="1">
          <reference field="4" count="0"/>
        </references>
      </pivotArea>
    </format>
    <format dxfId="45">
      <pivotArea dataOnly="0" labelOnly="1" outline="0" axis="axisValues" fieldPosition="0"/>
    </format>
    <format dxfId="43">
      <pivotArea grandRow="1" outline="0" collapsedLevelsAreSubtotals="1" fieldPosition="0"/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1CDF1-5836-4340-BF31-BDE237695778}" name="Analysis4.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4:I8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Total Spend" fld="5" subtotal="average" baseField="4" baseItem="1" numFmtId="2"/>
  </dataFields>
  <formats count="6">
    <format dxfId="42">
      <pivotArea grandRow="1" outline="0" collapsedLevelsAreSubtotals="1" fieldPosition="0"/>
    </format>
    <format dxfId="41">
      <pivotArea outline="0" fieldPosition="0">
        <references count="1">
          <reference field="4" count="0" selected="0"/>
        </references>
      </pivotArea>
    </format>
    <format dxfId="40">
      <pivotArea field="4" type="button" dataOnly="0" labelOnly="1" outline="0" axis="axisRow" fieldPosition="0"/>
    </format>
    <format dxfId="39">
      <pivotArea dataOnly="0" labelOnly="1" outline="0" fieldPosition="0">
        <references count="1">
          <reference field="4" count="0"/>
        </references>
      </pivotArea>
    </format>
    <format dxfId="38">
      <pivotArea dataOnly="0" labelOnly="1" outline="0" axis="axisValues" fieldPosition="0"/>
    </format>
    <format dxfId="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76FA6-697D-4610-8A16-1FEE1238AB6C}" name="Analysis4.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F16" firstHeaderRow="1" firstDataRow="2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numFmtId="2" outline="0" showAll="0"/>
    <pivotField compact="0" outline="0" showAll="0"/>
    <pivotField compact="0" outline="0" showAll="0">
      <items count="21">
        <item x="17"/>
        <item x="5"/>
        <item x="11"/>
        <item x="18"/>
        <item x="2"/>
        <item x="14"/>
        <item x="8"/>
        <item x="16"/>
        <item x="10"/>
        <item x="19"/>
        <item x="4"/>
        <item x="1"/>
        <item x="7"/>
        <item x="12"/>
        <item x="13"/>
        <item x="6"/>
        <item x="0"/>
        <item x="3"/>
        <item x="9"/>
        <item x="15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ustomer Count" fld="0" subtotal="count" baseField="8" baseItem="1"/>
  </dataFields>
  <formats count="10">
    <format dxfId="36">
      <pivotArea grandRow="1" outline="0" collapsedLevelsAreSubtotals="1" fieldPosition="0"/>
    </format>
    <format dxfId="35">
      <pivotArea outline="0" fieldPosition="0">
        <references count="1">
          <reference field="8" count="0" selected="0"/>
        </references>
      </pivotArea>
    </format>
    <format dxfId="34">
      <pivotArea type="origin" dataOnly="0" labelOnly="1" outline="0" fieldPosition="0"/>
    </format>
    <format dxfId="33">
      <pivotArea field="10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8" type="button" dataOnly="0" labelOnly="1" outline="0" axis="axisRow" fieldPosition="0"/>
    </format>
    <format dxfId="30">
      <pivotArea dataOnly="0" labelOnly="1" outline="0" fieldPosition="0">
        <references count="1">
          <reference field="8" count="0"/>
        </references>
      </pivotArea>
    </format>
    <format dxfId="29">
      <pivotArea dataOnly="0" labelOnly="1" outline="0" fieldPosition="0">
        <references count="1">
          <reference field="10" count="0"/>
        </references>
      </pivotArea>
    </format>
    <format dxfId="28">
      <pivotArea dataOnly="0" labelOnly="1" grandCol="1" outline="0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989A0-4ADE-475E-81D8-A97A7380C87F}" name="Analysis4.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9" firstHeaderRow="1" firstDataRow="2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ustomer Count" fld="0" subtotal="count" baseField="4" baseItem="2"/>
  </dataFields>
  <formats count="10">
    <format dxfId="27">
      <pivotArea grandRow="1" outline="0" collapsedLevelsAreSubtotals="1" fieldPosition="0"/>
    </format>
    <format dxfId="26">
      <pivotArea outline="0" fieldPosition="0">
        <references count="1">
          <reference field="4" count="0" selected="0"/>
        </references>
      </pivotArea>
    </format>
    <format dxfId="25">
      <pivotArea type="origin" dataOnly="0" labelOnly="1" outline="0" fieldPosition="0"/>
    </format>
    <format dxfId="24">
      <pivotArea field="10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4" type="button" dataOnly="0" labelOnly="1" outline="0" axis="axisRow" fieldPosition="0"/>
    </format>
    <format dxfId="21">
      <pivotArea dataOnly="0" labelOnly="1" outline="0" fieldPosition="0">
        <references count="1">
          <reference field="4" count="0"/>
        </references>
      </pivotArea>
    </format>
    <format dxfId="20">
      <pivotArea dataOnly="0" labelOnly="1" outline="0" fieldPosition="0">
        <references count="1">
          <reference field="10" count="0"/>
        </references>
      </pivotArea>
    </format>
    <format dxfId="19">
      <pivotArea dataOnly="0" labelOnly="1" grandCol="1" outline="0" fieldPosition="0"/>
    </format>
    <format dxfId="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88A68-657C-42B1-80F9-6DB0ABDF2A0C}" name="Analysis4.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10:L17" firstHeaderRow="1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5"/>
        <item x="1"/>
        <item x="4"/>
        <item x="0"/>
        <item x="3"/>
        <item t="default"/>
      </items>
    </pivotField>
    <pivotField compact="0" outline="0" showAll="0"/>
    <pivotField dataField="1"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Total Spend" fld="5" subtotal="average" baseField="3" baseItem="3" numFmtId="2"/>
  </dataFields>
  <formats count="6">
    <format dxfId="18">
      <pivotArea grandRow="1" outline="0" collapsedLevelsAreSubtotals="1" fieldPosition="0"/>
    </format>
    <format dxfId="17">
      <pivotArea outline="0" fieldPosition="0">
        <references count="1">
          <reference field="3" count="0" selected="0"/>
        </references>
      </pivotArea>
    </format>
    <format dxfId="16">
      <pivotArea field="3" type="button" dataOnly="0" labelOnly="1" outline="0" axis="axisRow" fieldPosition="0"/>
    </format>
    <format dxfId="15">
      <pivotArea dataOnly="0" labelOnly="1" outline="0" fieldPosition="0">
        <references count="1">
          <reference field="3" count="0"/>
        </references>
      </pivotArea>
    </format>
    <format dxfId="14">
      <pivotArea dataOnly="0" labelOnly="1" outline="0" axis="axisValues" fieldPosition="0"/>
    </format>
    <format dxfId="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5C847-A4C6-4E9D-9CFC-B64AD32F3FDF}" name="Analysis4.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4:L7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dataField="1" compact="0" numFmtId="2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Total Spend" fld="5" subtotal="average" baseField="8" baseItem="1" numFmtId="2"/>
  </dataFields>
  <formats count="5">
    <format dxfId="12">
      <pivotArea outline="0" fieldPosition="0">
        <references count="1">
          <reference field="8" count="0" selected="0"/>
        </references>
      </pivotArea>
    </format>
    <format dxfId="11">
      <pivotArea field="8" type="button" dataOnly="0" labelOnly="1" outline="0" axis="axisRow" fieldPosition="0"/>
    </format>
    <format dxfId="9">
      <pivotArea dataOnly="0" labelOnly="1" outline="0" fieldPosition="0">
        <references count="1">
          <reference field="8" count="0"/>
        </references>
      </pivotArea>
    </format>
    <format dxfId="8">
      <pivotArea dataOnly="0" labelOnly="1" outline="0" axis="axisValues" fieldPosition="0"/>
    </format>
    <format dxfId="6">
      <pivotArea dataOnly="0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9E9BA1-DFD4-47F1-B76C-7FF10915F30F}" name="Customer_Analytics" displayName="Customer_Analytics" ref="A3:L353" totalsRowShown="0" headerRowDxfId="58">
  <tableColumns count="12">
    <tableColumn id="1" xr3:uid="{875E27E5-151B-451D-8EED-FE43C553C608}" name="Customer ID"/>
    <tableColumn id="2" xr3:uid="{07BB9060-8DBB-45CB-B080-37BED6461865}" name="Gender"/>
    <tableColumn id="3" xr3:uid="{CABDD2EA-063D-4D2A-A5C5-D25E0A27C5AF}" name="Age"/>
    <tableColumn id="13" xr3:uid="{DBF37614-A116-4A90-B9B9-C2003FFCEDE6}" name="Age Group" dataDxfId="57">
      <calculatedColumnFormula>IF(Customer_Analytics[[#This Row],[Age]]&lt;=30,"26-30",IF(Customer_Analytics[[#This Row],[Age]]&lt;=35,"31-35",IF(Customer_Analytics[[#This Row],[Age]]&lt;=40,"36-40","41-45")))</calculatedColumnFormula>
    </tableColumn>
    <tableColumn id="4" xr3:uid="{F716F44E-523A-4FE8-9B22-EAADDFDAEFE9}" name="City"/>
    <tableColumn id="5" xr3:uid="{34EF0CD3-4F7C-4EB9-97AB-7717185D8DE1}" name="Membership Type"/>
    <tableColumn id="6" xr3:uid="{6A456A43-BE6C-42D3-A318-C0ECF0F70989}" name="Total Spend" dataDxfId="56"/>
    <tableColumn id="7" xr3:uid="{2EEDFD1A-7DA9-4D56-9D1F-13A446E1AF13}" name="Items Purchased"/>
    <tableColumn id="8" xr3:uid="{312CA050-2E20-49E6-AC39-2C8C2C76711B}" name="Average Rating"/>
    <tableColumn id="9" xr3:uid="{27B333FE-2595-43F3-895A-35E6C3454269}" name="Discount Applied"/>
    <tableColumn id="10" xr3:uid="{1731DEDA-1541-4F51-BCDB-ADFB6731BADC}" name="Days Since Last Purchase"/>
    <tableColumn id="11" xr3:uid="{0071FDF4-80C4-417A-B126-22A5B9B39797}" name="Satisfaction Leve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B2F551-3D67-413B-B6CA-CB053D6931A0}" name="Descriptive_Analysis" displayName="Descriptive_Analysis" ref="B3:F8" totalsRowShown="0" headerRowDxfId="55" dataDxfId="54">
  <tableColumns count="5">
    <tableColumn id="1" xr3:uid="{62CA66FF-5DE7-4165-B558-343E64781C63}" name="Variable" dataDxfId="53"/>
    <tableColumn id="2" xr3:uid="{1DAF2B9B-E790-4373-B79E-F86C113731AF}" name="Minimum" dataDxfId="52">
      <calculatedColumnFormula>MIN(Customer_Analytics[Age])</calculatedColumnFormula>
    </tableColumn>
    <tableColumn id="3" xr3:uid="{4A7E17B7-C3AB-480E-A2C1-260FA5ACEA29}" name="Maximum" dataDxfId="51">
      <calculatedColumnFormula>MAX(Customer_Analytics[Age])</calculatedColumnFormula>
    </tableColumn>
    <tableColumn id="4" xr3:uid="{8C7CB53A-42D8-4E5E-83E8-E9BDC0848DDD}" name="Mean" dataDxfId="50">
      <calculatedColumnFormula>AVERAGE(Customer_Analytics[Age])</calculatedColumnFormula>
    </tableColumn>
    <tableColumn id="5" xr3:uid="{87D584CA-6BF8-459C-BE9F-15AFD7CBF322}" name="Median" dataDxfId="49">
      <calculatedColumnFormula>MEDIAN(Customer_Analytics[Age])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8DD9-AC37-4BA0-8BB5-D705C251E6EF}">
  <sheetPr>
    <tabColor theme="4" tint="0.59999389629810485"/>
  </sheetPr>
  <dimension ref="A1:L353"/>
  <sheetViews>
    <sheetView zoomScale="80" zoomScaleNormal="80" workbookViewId="0">
      <pane ySplit="3" topLeftCell="A4" activePane="bottomLeft" state="frozen"/>
      <selection activeCell="B1" sqref="B1"/>
      <selection pane="bottomLeft" activeCell="A2" sqref="A2:L2"/>
    </sheetView>
  </sheetViews>
  <sheetFormatPr defaultRowHeight="14.5" x14ac:dyDescent="0.35"/>
  <cols>
    <col min="1" max="1" width="14.08984375" customWidth="1"/>
    <col min="2" max="2" width="9.54296875" customWidth="1"/>
    <col min="4" max="4" width="10.7265625" bestFit="1" customWidth="1"/>
    <col min="5" max="5" width="12.26953125" bestFit="1" customWidth="1"/>
    <col min="6" max="6" width="19.36328125" customWidth="1"/>
    <col min="7" max="7" width="13.54296875" customWidth="1"/>
    <col min="8" max="8" width="17.90625" customWidth="1"/>
    <col min="9" max="9" width="16.54296875" customWidth="1"/>
    <col min="10" max="10" width="18.36328125" customWidth="1"/>
    <col min="11" max="11" width="25.26953125" customWidth="1"/>
    <col min="12" max="12" width="18.54296875" customWidth="1"/>
  </cols>
  <sheetData>
    <row r="1" spans="1:12" ht="23.5" x14ac:dyDescent="0.55000000000000004">
      <c r="A1" s="11" t="s">
        <v>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5.5" x14ac:dyDescent="0.35">
      <c r="A3" s="1" t="s">
        <v>0</v>
      </c>
      <c r="B3" s="1" t="s">
        <v>1</v>
      </c>
      <c r="C3" s="1" t="s">
        <v>2</v>
      </c>
      <c r="D3" s="1" t="s">
        <v>47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</row>
    <row r="4" spans="1:12" x14ac:dyDescent="0.35">
      <c r="A4">
        <v>101</v>
      </c>
      <c r="B4" t="s">
        <v>11</v>
      </c>
      <c r="C4">
        <v>29</v>
      </c>
      <c r="D4" t="str">
        <f>IF(Customer_Analytics[[#This Row],[Age]]&lt;=30,"26-30",IF(Customer_Analytics[[#This Row],[Age]]&lt;=35,"31-35",IF(Customer_Analytics[[#This Row],[Age]]&lt;=40,"36-40","41-45")))</f>
        <v>26-30</v>
      </c>
      <c r="E4" t="s">
        <v>12</v>
      </c>
      <c r="F4" t="s">
        <v>13</v>
      </c>
      <c r="G4" s="2">
        <v>1120.2</v>
      </c>
      <c r="H4">
        <v>14</v>
      </c>
      <c r="I4">
        <v>4.5999999999999996</v>
      </c>
      <c r="J4" t="b">
        <v>1</v>
      </c>
      <c r="K4">
        <v>25</v>
      </c>
      <c r="L4" t="s">
        <v>14</v>
      </c>
    </row>
    <row r="5" spans="1:12" x14ac:dyDescent="0.35">
      <c r="A5">
        <v>102</v>
      </c>
      <c r="B5" t="s">
        <v>15</v>
      </c>
      <c r="C5">
        <v>34</v>
      </c>
      <c r="D5" t="str">
        <f>IF(Customer_Analytics[[#This Row],[Age]]&lt;=30,"26-30",IF(Customer_Analytics[[#This Row],[Age]]&lt;=35,"31-35",IF(Customer_Analytics[[#This Row],[Age]]&lt;=40,"36-40","41-45")))</f>
        <v>31-35</v>
      </c>
      <c r="E5" t="s">
        <v>16</v>
      </c>
      <c r="F5" t="s">
        <v>17</v>
      </c>
      <c r="G5" s="2">
        <v>780.5</v>
      </c>
      <c r="H5">
        <v>11</v>
      </c>
      <c r="I5">
        <v>4.0999999999999996</v>
      </c>
      <c r="J5" t="b">
        <v>0</v>
      </c>
      <c r="K5">
        <v>18</v>
      </c>
      <c r="L5" t="s">
        <v>18</v>
      </c>
    </row>
    <row r="6" spans="1:12" x14ac:dyDescent="0.35">
      <c r="A6">
        <v>103</v>
      </c>
      <c r="B6" t="s">
        <v>11</v>
      </c>
      <c r="C6">
        <v>43</v>
      </c>
      <c r="D6" t="str">
        <f>IF(Customer_Analytics[[#This Row],[Age]]&lt;=30,"26-30",IF(Customer_Analytics[[#This Row],[Age]]&lt;=35,"31-35",IF(Customer_Analytics[[#This Row],[Age]]&lt;=40,"36-40","41-45")))</f>
        <v>41-45</v>
      </c>
      <c r="E6" t="s">
        <v>19</v>
      </c>
      <c r="F6" t="s">
        <v>20</v>
      </c>
      <c r="G6" s="2">
        <v>510.75</v>
      </c>
      <c r="H6">
        <v>9</v>
      </c>
      <c r="I6">
        <v>3.4</v>
      </c>
      <c r="J6" t="b">
        <v>1</v>
      </c>
      <c r="K6">
        <v>42</v>
      </c>
      <c r="L6" t="s">
        <v>21</v>
      </c>
    </row>
    <row r="7" spans="1:12" x14ac:dyDescent="0.35">
      <c r="A7">
        <v>104</v>
      </c>
      <c r="B7" t="s">
        <v>15</v>
      </c>
      <c r="C7">
        <v>30</v>
      </c>
      <c r="D7" t="str">
        <f>IF(Customer_Analytics[[#This Row],[Age]]&lt;=30,"26-30",IF(Customer_Analytics[[#This Row],[Age]]&lt;=35,"31-35",IF(Customer_Analytics[[#This Row],[Age]]&lt;=40,"36-40","41-45")))</f>
        <v>26-30</v>
      </c>
      <c r="E7" t="s">
        <v>22</v>
      </c>
      <c r="F7" t="s">
        <v>13</v>
      </c>
      <c r="G7" s="2">
        <v>1480.3</v>
      </c>
      <c r="H7">
        <v>19</v>
      </c>
      <c r="I7">
        <v>4.7</v>
      </c>
      <c r="J7" t="b">
        <v>0</v>
      </c>
      <c r="K7">
        <v>12</v>
      </c>
      <c r="L7" t="s">
        <v>14</v>
      </c>
    </row>
    <row r="8" spans="1:12" x14ac:dyDescent="0.35">
      <c r="A8">
        <v>105</v>
      </c>
      <c r="B8" t="s">
        <v>15</v>
      </c>
      <c r="C8">
        <v>27</v>
      </c>
      <c r="D8" t="str">
        <f>IF(Customer_Analytics[[#This Row],[Age]]&lt;=30,"26-30",IF(Customer_Analytics[[#This Row],[Age]]&lt;=35,"31-35",IF(Customer_Analytics[[#This Row],[Age]]&lt;=40,"36-40","41-45")))</f>
        <v>26-30</v>
      </c>
      <c r="E8" t="s">
        <v>23</v>
      </c>
      <c r="F8" t="s">
        <v>17</v>
      </c>
      <c r="G8" s="2">
        <v>720.4</v>
      </c>
      <c r="H8">
        <v>13</v>
      </c>
      <c r="I8">
        <v>4</v>
      </c>
      <c r="J8" t="b">
        <v>1</v>
      </c>
      <c r="K8">
        <v>55</v>
      </c>
      <c r="L8" t="s">
        <v>21</v>
      </c>
    </row>
    <row r="9" spans="1:12" x14ac:dyDescent="0.35">
      <c r="A9">
        <v>106</v>
      </c>
      <c r="B9" t="s">
        <v>11</v>
      </c>
      <c r="C9">
        <v>37</v>
      </c>
      <c r="D9" t="str">
        <f>IF(Customer_Analytics[[#This Row],[Age]]&lt;=30,"26-30",IF(Customer_Analytics[[#This Row],[Age]]&lt;=35,"31-35",IF(Customer_Analytics[[#This Row],[Age]]&lt;=40,"36-40","41-45")))</f>
        <v>36-40</v>
      </c>
      <c r="E9" t="s">
        <v>24</v>
      </c>
      <c r="F9" t="s">
        <v>20</v>
      </c>
      <c r="G9" s="2">
        <v>440.8</v>
      </c>
      <c r="H9">
        <v>8</v>
      </c>
      <c r="I9">
        <v>3.1</v>
      </c>
      <c r="J9" t="b">
        <v>0</v>
      </c>
      <c r="K9">
        <v>22</v>
      </c>
      <c r="L9" t="s">
        <v>18</v>
      </c>
    </row>
    <row r="10" spans="1:12" x14ac:dyDescent="0.35">
      <c r="A10">
        <v>107</v>
      </c>
      <c r="B10" t="s">
        <v>11</v>
      </c>
      <c r="C10">
        <v>31</v>
      </c>
      <c r="D10" t="str">
        <f>IF(Customer_Analytics[[#This Row],[Age]]&lt;=30,"26-30",IF(Customer_Analytics[[#This Row],[Age]]&lt;=35,"31-35",IF(Customer_Analytics[[#This Row],[Age]]&lt;=40,"36-40","41-45")))</f>
        <v>31-35</v>
      </c>
      <c r="E10" t="s">
        <v>12</v>
      </c>
      <c r="F10" t="s">
        <v>13</v>
      </c>
      <c r="G10" s="2">
        <v>1150.5999999999999</v>
      </c>
      <c r="H10">
        <v>15</v>
      </c>
      <c r="I10">
        <v>4.5</v>
      </c>
      <c r="J10" t="b">
        <v>1</v>
      </c>
      <c r="K10">
        <v>28</v>
      </c>
      <c r="L10" t="s">
        <v>14</v>
      </c>
    </row>
    <row r="11" spans="1:12" x14ac:dyDescent="0.35">
      <c r="A11">
        <v>108</v>
      </c>
      <c r="B11" t="s">
        <v>15</v>
      </c>
      <c r="C11">
        <v>35</v>
      </c>
      <c r="D11" t="str">
        <f>IF(Customer_Analytics[[#This Row],[Age]]&lt;=30,"26-30",IF(Customer_Analytics[[#This Row],[Age]]&lt;=35,"31-35",IF(Customer_Analytics[[#This Row],[Age]]&lt;=40,"36-40","41-45")))</f>
        <v>31-35</v>
      </c>
      <c r="E11" t="s">
        <v>16</v>
      </c>
      <c r="F11" t="s">
        <v>17</v>
      </c>
      <c r="G11" s="2">
        <v>800.9</v>
      </c>
      <c r="H11">
        <v>12</v>
      </c>
      <c r="I11">
        <v>4.2</v>
      </c>
      <c r="J11" t="b">
        <v>0</v>
      </c>
      <c r="K11">
        <v>14</v>
      </c>
      <c r="L11" t="s">
        <v>18</v>
      </c>
    </row>
    <row r="12" spans="1:12" x14ac:dyDescent="0.35">
      <c r="A12">
        <v>109</v>
      </c>
      <c r="B12" t="s">
        <v>11</v>
      </c>
      <c r="C12">
        <v>41</v>
      </c>
      <c r="D12" t="str">
        <f>IF(Customer_Analytics[[#This Row],[Age]]&lt;=30,"26-30",IF(Customer_Analytics[[#This Row],[Age]]&lt;=35,"31-35",IF(Customer_Analytics[[#This Row],[Age]]&lt;=40,"36-40","41-45")))</f>
        <v>41-45</v>
      </c>
      <c r="E12" t="s">
        <v>19</v>
      </c>
      <c r="F12" t="s">
        <v>20</v>
      </c>
      <c r="G12" s="2">
        <v>495.25</v>
      </c>
      <c r="H12">
        <v>10</v>
      </c>
      <c r="I12">
        <v>3.6</v>
      </c>
      <c r="J12" t="b">
        <v>1</v>
      </c>
      <c r="K12">
        <v>40</v>
      </c>
      <c r="L12" t="s">
        <v>21</v>
      </c>
    </row>
    <row r="13" spans="1:12" x14ac:dyDescent="0.35">
      <c r="A13">
        <v>110</v>
      </c>
      <c r="B13" t="s">
        <v>15</v>
      </c>
      <c r="C13">
        <v>28</v>
      </c>
      <c r="D13" t="str">
        <f>IF(Customer_Analytics[[#This Row],[Age]]&lt;=30,"26-30",IF(Customer_Analytics[[#This Row],[Age]]&lt;=35,"31-35",IF(Customer_Analytics[[#This Row],[Age]]&lt;=40,"36-40","41-45")))</f>
        <v>26-30</v>
      </c>
      <c r="E13" t="s">
        <v>22</v>
      </c>
      <c r="F13" t="s">
        <v>13</v>
      </c>
      <c r="G13" s="2">
        <v>1520.1</v>
      </c>
      <c r="H13">
        <v>21</v>
      </c>
      <c r="I13">
        <v>4.8</v>
      </c>
      <c r="J13" t="b">
        <v>0</v>
      </c>
      <c r="K13">
        <v>9</v>
      </c>
      <c r="L13" t="s">
        <v>14</v>
      </c>
    </row>
    <row r="14" spans="1:12" x14ac:dyDescent="0.35">
      <c r="A14">
        <v>111</v>
      </c>
      <c r="B14" t="s">
        <v>15</v>
      </c>
      <c r="C14">
        <v>32</v>
      </c>
      <c r="D14" t="str">
        <f>IF(Customer_Analytics[[#This Row],[Age]]&lt;=30,"26-30",IF(Customer_Analytics[[#This Row],[Age]]&lt;=35,"31-35",IF(Customer_Analytics[[#This Row],[Age]]&lt;=40,"36-40","41-45")))</f>
        <v>31-35</v>
      </c>
      <c r="E14" t="s">
        <v>23</v>
      </c>
      <c r="F14" t="s">
        <v>17</v>
      </c>
      <c r="G14" s="2">
        <v>690.3</v>
      </c>
      <c r="H14">
        <v>11</v>
      </c>
      <c r="I14">
        <v>3.8</v>
      </c>
      <c r="J14" t="b">
        <v>1</v>
      </c>
      <c r="K14">
        <v>34</v>
      </c>
      <c r="L14" t="s">
        <v>21</v>
      </c>
    </row>
    <row r="15" spans="1:12" x14ac:dyDescent="0.35">
      <c r="A15">
        <v>112</v>
      </c>
      <c r="B15" t="s">
        <v>11</v>
      </c>
      <c r="C15">
        <v>36</v>
      </c>
      <c r="D15" t="str">
        <f>IF(Customer_Analytics[[#This Row],[Age]]&lt;=30,"26-30",IF(Customer_Analytics[[#This Row],[Age]]&lt;=35,"31-35",IF(Customer_Analytics[[#This Row],[Age]]&lt;=40,"36-40","41-45")))</f>
        <v>36-40</v>
      </c>
      <c r="E15" t="s">
        <v>24</v>
      </c>
      <c r="F15" t="s">
        <v>20</v>
      </c>
      <c r="G15" s="2">
        <v>470.5</v>
      </c>
      <c r="H15">
        <v>7</v>
      </c>
      <c r="I15">
        <v>3.2</v>
      </c>
      <c r="J15" t="b">
        <v>0</v>
      </c>
      <c r="K15">
        <v>20</v>
      </c>
      <c r="L15" t="s">
        <v>18</v>
      </c>
    </row>
    <row r="16" spans="1:12" x14ac:dyDescent="0.35">
      <c r="A16">
        <v>113</v>
      </c>
      <c r="B16" t="s">
        <v>11</v>
      </c>
      <c r="C16">
        <v>30</v>
      </c>
      <c r="D16" t="str">
        <f>IF(Customer_Analytics[[#This Row],[Age]]&lt;=30,"26-30",IF(Customer_Analytics[[#This Row],[Age]]&lt;=35,"31-35",IF(Customer_Analytics[[#This Row],[Age]]&lt;=40,"36-40","41-45")))</f>
        <v>26-30</v>
      </c>
      <c r="E16" t="s">
        <v>12</v>
      </c>
      <c r="F16" t="s">
        <v>13</v>
      </c>
      <c r="G16" s="2">
        <v>1200.8</v>
      </c>
      <c r="H16">
        <v>16</v>
      </c>
      <c r="I16">
        <v>4.3</v>
      </c>
      <c r="J16" t="b">
        <v>1</v>
      </c>
      <c r="K16">
        <v>21</v>
      </c>
      <c r="L16" t="s">
        <v>14</v>
      </c>
    </row>
    <row r="17" spans="1:12" x14ac:dyDescent="0.35">
      <c r="A17">
        <v>114</v>
      </c>
      <c r="B17" t="s">
        <v>15</v>
      </c>
      <c r="C17">
        <v>33</v>
      </c>
      <c r="D17" t="str">
        <f>IF(Customer_Analytics[[#This Row],[Age]]&lt;=30,"26-30",IF(Customer_Analytics[[#This Row],[Age]]&lt;=35,"31-35",IF(Customer_Analytics[[#This Row],[Age]]&lt;=40,"36-40","41-45")))</f>
        <v>31-35</v>
      </c>
      <c r="E17" t="s">
        <v>16</v>
      </c>
      <c r="F17" t="s">
        <v>17</v>
      </c>
      <c r="G17" s="2">
        <v>820.75</v>
      </c>
      <c r="H17">
        <v>13</v>
      </c>
      <c r="I17">
        <v>4.4000000000000004</v>
      </c>
      <c r="J17" t="b">
        <v>0</v>
      </c>
      <c r="K17">
        <v>15</v>
      </c>
      <c r="L17" t="s">
        <v>14</v>
      </c>
    </row>
    <row r="18" spans="1:12" x14ac:dyDescent="0.35">
      <c r="A18">
        <v>115</v>
      </c>
      <c r="B18" t="s">
        <v>11</v>
      </c>
      <c r="C18">
        <v>42</v>
      </c>
      <c r="D18" t="str">
        <f>IF(Customer_Analytics[[#This Row],[Age]]&lt;=30,"26-30",IF(Customer_Analytics[[#This Row],[Age]]&lt;=35,"31-35",IF(Customer_Analytics[[#This Row],[Age]]&lt;=40,"36-40","41-45")))</f>
        <v>41-45</v>
      </c>
      <c r="E18" t="s">
        <v>19</v>
      </c>
      <c r="F18" t="s">
        <v>20</v>
      </c>
      <c r="G18" s="2">
        <v>530.4</v>
      </c>
      <c r="H18">
        <v>9</v>
      </c>
      <c r="I18">
        <v>3.5</v>
      </c>
      <c r="J18" t="b">
        <v>1</v>
      </c>
      <c r="K18">
        <v>38</v>
      </c>
      <c r="L18" t="s">
        <v>21</v>
      </c>
    </row>
    <row r="19" spans="1:12" x14ac:dyDescent="0.35">
      <c r="A19">
        <v>116</v>
      </c>
      <c r="B19" t="s">
        <v>15</v>
      </c>
      <c r="C19">
        <v>29</v>
      </c>
      <c r="D19" t="str">
        <f>IF(Customer_Analytics[[#This Row],[Age]]&lt;=30,"26-30",IF(Customer_Analytics[[#This Row],[Age]]&lt;=35,"31-35",IF(Customer_Analytics[[#This Row],[Age]]&lt;=40,"36-40","41-45")))</f>
        <v>26-30</v>
      </c>
      <c r="E19" t="s">
        <v>22</v>
      </c>
      <c r="F19" t="s">
        <v>13</v>
      </c>
      <c r="G19" s="2">
        <v>1360.2</v>
      </c>
      <c r="H19">
        <v>18</v>
      </c>
      <c r="I19">
        <v>4.9000000000000004</v>
      </c>
      <c r="J19" t="b">
        <v>0</v>
      </c>
      <c r="K19">
        <v>11</v>
      </c>
      <c r="L19" t="s">
        <v>14</v>
      </c>
    </row>
    <row r="20" spans="1:12" x14ac:dyDescent="0.35">
      <c r="A20">
        <v>117</v>
      </c>
      <c r="B20" t="s">
        <v>15</v>
      </c>
      <c r="C20">
        <v>26</v>
      </c>
      <c r="D20" t="str">
        <f>IF(Customer_Analytics[[#This Row],[Age]]&lt;=30,"26-30",IF(Customer_Analytics[[#This Row],[Age]]&lt;=35,"31-35",IF(Customer_Analytics[[#This Row],[Age]]&lt;=40,"36-40","41-45")))</f>
        <v>26-30</v>
      </c>
      <c r="E20" t="s">
        <v>23</v>
      </c>
      <c r="F20" t="s">
        <v>17</v>
      </c>
      <c r="G20" s="2">
        <v>700.6</v>
      </c>
      <c r="H20">
        <v>12</v>
      </c>
      <c r="I20">
        <v>3.7</v>
      </c>
      <c r="J20" t="b">
        <v>1</v>
      </c>
      <c r="K20">
        <v>48</v>
      </c>
      <c r="L20" t="s">
        <v>21</v>
      </c>
    </row>
    <row r="21" spans="1:12" x14ac:dyDescent="0.35">
      <c r="A21">
        <v>118</v>
      </c>
      <c r="B21" t="s">
        <v>11</v>
      </c>
      <c r="C21">
        <v>38</v>
      </c>
      <c r="D21" t="str">
        <f>IF(Customer_Analytics[[#This Row],[Age]]&lt;=30,"26-30",IF(Customer_Analytics[[#This Row],[Age]]&lt;=35,"31-35",IF(Customer_Analytics[[#This Row],[Age]]&lt;=40,"36-40","41-45")))</f>
        <v>36-40</v>
      </c>
      <c r="E21" t="s">
        <v>24</v>
      </c>
      <c r="F21" t="s">
        <v>20</v>
      </c>
      <c r="G21" s="2">
        <v>450.9</v>
      </c>
      <c r="H21">
        <v>8</v>
      </c>
      <c r="I21">
        <v>3</v>
      </c>
      <c r="J21" t="b">
        <v>0</v>
      </c>
      <c r="K21">
        <v>25</v>
      </c>
      <c r="L21" t="s">
        <v>18</v>
      </c>
    </row>
    <row r="22" spans="1:12" x14ac:dyDescent="0.35">
      <c r="A22">
        <v>119</v>
      </c>
      <c r="B22" t="s">
        <v>11</v>
      </c>
      <c r="C22">
        <v>32</v>
      </c>
      <c r="D22" t="str">
        <f>IF(Customer_Analytics[[#This Row],[Age]]&lt;=30,"26-30",IF(Customer_Analytics[[#This Row],[Age]]&lt;=35,"31-35",IF(Customer_Analytics[[#This Row],[Age]]&lt;=40,"36-40","41-45")))</f>
        <v>31-35</v>
      </c>
      <c r="E22" t="s">
        <v>12</v>
      </c>
      <c r="F22" t="s">
        <v>13</v>
      </c>
      <c r="G22" s="2">
        <v>1170.3</v>
      </c>
      <c r="H22">
        <v>14</v>
      </c>
      <c r="I22">
        <v>4.7</v>
      </c>
      <c r="J22" t="b">
        <v>1</v>
      </c>
      <c r="K22">
        <v>29</v>
      </c>
      <c r="L22" t="s">
        <v>14</v>
      </c>
    </row>
    <row r="23" spans="1:12" x14ac:dyDescent="0.35">
      <c r="A23">
        <v>120</v>
      </c>
      <c r="B23" t="s">
        <v>15</v>
      </c>
      <c r="C23">
        <v>34</v>
      </c>
      <c r="D23" t="str">
        <f>IF(Customer_Analytics[[#This Row],[Age]]&lt;=30,"26-30",IF(Customer_Analytics[[#This Row],[Age]]&lt;=35,"31-35",IF(Customer_Analytics[[#This Row],[Age]]&lt;=40,"36-40","41-45")))</f>
        <v>31-35</v>
      </c>
      <c r="E23" t="s">
        <v>16</v>
      </c>
      <c r="F23" t="s">
        <v>17</v>
      </c>
      <c r="G23" s="2">
        <v>790.2</v>
      </c>
      <c r="H23">
        <v>11</v>
      </c>
      <c r="I23">
        <v>4</v>
      </c>
      <c r="J23" t="b">
        <v>0</v>
      </c>
      <c r="K23">
        <v>16</v>
      </c>
      <c r="L23" t="s">
        <v>18</v>
      </c>
    </row>
    <row r="24" spans="1:12" x14ac:dyDescent="0.35">
      <c r="A24">
        <v>121</v>
      </c>
      <c r="B24" t="s">
        <v>11</v>
      </c>
      <c r="C24">
        <v>43</v>
      </c>
      <c r="D24" t="str">
        <f>IF(Customer_Analytics[[#This Row],[Age]]&lt;=30,"26-30",IF(Customer_Analytics[[#This Row],[Age]]&lt;=35,"31-35",IF(Customer_Analytics[[#This Row],[Age]]&lt;=40,"36-40","41-45")))</f>
        <v>41-45</v>
      </c>
      <c r="E24" t="s">
        <v>19</v>
      </c>
      <c r="F24" t="s">
        <v>20</v>
      </c>
      <c r="G24" s="2">
        <v>505.75</v>
      </c>
      <c r="H24">
        <v>10</v>
      </c>
      <c r="I24">
        <v>3.3</v>
      </c>
      <c r="J24" t="b">
        <v>1</v>
      </c>
      <c r="K24">
        <v>41</v>
      </c>
      <c r="L24" t="s">
        <v>21</v>
      </c>
    </row>
    <row r="25" spans="1:12" x14ac:dyDescent="0.35">
      <c r="A25">
        <v>122</v>
      </c>
      <c r="B25" t="s">
        <v>15</v>
      </c>
      <c r="C25">
        <v>30</v>
      </c>
      <c r="D25" t="str">
        <f>IF(Customer_Analytics[[#This Row],[Age]]&lt;=30,"26-30",IF(Customer_Analytics[[#This Row],[Age]]&lt;=35,"31-35",IF(Customer_Analytics[[#This Row],[Age]]&lt;=40,"36-40","41-45")))</f>
        <v>26-30</v>
      </c>
      <c r="E25" t="s">
        <v>22</v>
      </c>
      <c r="F25" t="s">
        <v>13</v>
      </c>
      <c r="G25" s="2">
        <v>1470.5</v>
      </c>
      <c r="H25">
        <v>20</v>
      </c>
      <c r="I25">
        <v>4.8</v>
      </c>
      <c r="J25" t="b">
        <v>0</v>
      </c>
      <c r="K25">
        <v>13</v>
      </c>
      <c r="L25" t="s">
        <v>14</v>
      </c>
    </row>
    <row r="26" spans="1:12" x14ac:dyDescent="0.35">
      <c r="A26">
        <v>123</v>
      </c>
      <c r="B26" t="s">
        <v>15</v>
      </c>
      <c r="C26">
        <v>27</v>
      </c>
      <c r="D26" t="str">
        <f>IF(Customer_Analytics[[#This Row],[Age]]&lt;=30,"26-30",IF(Customer_Analytics[[#This Row],[Age]]&lt;=35,"31-35",IF(Customer_Analytics[[#This Row],[Age]]&lt;=40,"36-40","41-45")))</f>
        <v>26-30</v>
      </c>
      <c r="E26" t="s">
        <v>23</v>
      </c>
      <c r="F26" t="s">
        <v>17</v>
      </c>
      <c r="G26" s="2">
        <v>710.4</v>
      </c>
      <c r="H26">
        <v>13</v>
      </c>
      <c r="I26">
        <v>4.0999999999999996</v>
      </c>
      <c r="J26" t="b">
        <v>1</v>
      </c>
      <c r="K26">
        <v>54</v>
      </c>
      <c r="L26" t="s">
        <v>21</v>
      </c>
    </row>
    <row r="27" spans="1:12" x14ac:dyDescent="0.35">
      <c r="A27">
        <v>124</v>
      </c>
      <c r="B27" t="s">
        <v>11</v>
      </c>
      <c r="C27">
        <v>37</v>
      </c>
      <c r="D27" t="str">
        <f>IF(Customer_Analytics[[#This Row],[Age]]&lt;=30,"26-30",IF(Customer_Analytics[[#This Row],[Age]]&lt;=35,"31-35",IF(Customer_Analytics[[#This Row],[Age]]&lt;=40,"36-40","41-45")))</f>
        <v>36-40</v>
      </c>
      <c r="E27" t="s">
        <v>24</v>
      </c>
      <c r="F27" t="s">
        <v>20</v>
      </c>
      <c r="G27" s="2">
        <v>430.8</v>
      </c>
      <c r="H27">
        <v>7</v>
      </c>
      <c r="I27">
        <v>3.4</v>
      </c>
      <c r="J27" t="b">
        <v>0</v>
      </c>
      <c r="K27">
        <v>23</v>
      </c>
      <c r="L27" t="s">
        <v>18</v>
      </c>
    </row>
    <row r="28" spans="1:12" x14ac:dyDescent="0.35">
      <c r="A28">
        <v>125</v>
      </c>
      <c r="B28" t="s">
        <v>11</v>
      </c>
      <c r="C28">
        <v>31</v>
      </c>
      <c r="D28" t="str">
        <f>IF(Customer_Analytics[[#This Row],[Age]]&lt;=30,"26-30",IF(Customer_Analytics[[#This Row],[Age]]&lt;=35,"31-35",IF(Customer_Analytics[[#This Row],[Age]]&lt;=40,"36-40","41-45")))</f>
        <v>31-35</v>
      </c>
      <c r="E28" t="s">
        <v>12</v>
      </c>
      <c r="F28" t="s">
        <v>13</v>
      </c>
      <c r="G28" s="2">
        <v>1140.5999999999999</v>
      </c>
      <c r="H28">
        <v>15</v>
      </c>
      <c r="I28">
        <v>4.5999999999999996</v>
      </c>
      <c r="J28" t="b">
        <v>1</v>
      </c>
      <c r="K28">
        <v>27</v>
      </c>
      <c r="L28" t="s">
        <v>14</v>
      </c>
    </row>
    <row r="29" spans="1:12" x14ac:dyDescent="0.35">
      <c r="A29">
        <v>126</v>
      </c>
      <c r="B29" t="s">
        <v>15</v>
      </c>
      <c r="C29">
        <v>35</v>
      </c>
      <c r="D29" t="str">
        <f>IF(Customer_Analytics[[#This Row],[Age]]&lt;=30,"26-30",IF(Customer_Analytics[[#This Row],[Age]]&lt;=35,"31-35",IF(Customer_Analytics[[#This Row],[Age]]&lt;=40,"36-40","41-45")))</f>
        <v>31-35</v>
      </c>
      <c r="E29" t="s">
        <v>16</v>
      </c>
      <c r="F29" t="s">
        <v>17</v>
      </c>
      <c r="G29" s="2">
        <v>810.9</v>
      </c>
      <c r="H29">
        <v>12</v>
      </c>
      <c r="I29">
        <v>4.3</v>
      </c>
      <c r="J29" t="b">
        <v>0</v>
      </c>
      <c r="K29">
        <v>13</v>
      </c>
      <c r="L29" t="s">
        <v>18</v>
      </c>
    </row>
    <row r="30" spans="1:12" x14ac:dyDescent="0.35">
      <c r="A30">
        <v>127</v>
      </c>
      <c r="B30" t="s">
        <v>11</v>
      </c>
      <c r="C30">
        <v>41</v>
      </c>
      <c r="D30" t="str">
        <f>IF(Customer_Analytics[[#This Row],[Age]]&lt;=30,"26-30",IF(Customer_Analytics[[#This Row],[Age]]&lt;=35,"31-35",IF(Customer_Analytics[[#This Row],[Age]]&lt;=40,"36-40","41-45")))</f>
        <v>41-45</v>
      </c>
      <c r="E30" t="s">
        <v>19</v>
      </c>
      <c r="F30" t="s">
        <v>20</v>
      </c>
      <c r="G30" s="2">
        <v>485.25</v>
      </c>
      <c r="H30">
        <v>9</v>
      </c>
      <c r="I30">
        <v>3.6</v>
      </c>
      <c r="J30" t="b">
        <v>1</v>
      </c>
      <c r="K30">
        <v>39</v>
      </c>
      <c r="L30" t="s">
        <v>21</v>
      </c>
    </row>
    <row r="31" spans="1:12" x14ac:dyDescent="0.35">
      <c r="A31">
        <v>128</v>
      </c>
      <c r="B31" t="s">
        <v>15</v>
      </c>
      <c r="C31">
        <v>28</v>
      </c>
      <c r="D31" t="str">
        <f>IF(Customer_Analytics[[#This Row],[Age]]&lt;=30,"26-30",IF(Customer_Analytics[[#This Row],[Age]]&lt;=35,"31-35",IF(Customer_Analytics[[#This Row],[Age]]&lt;=40,"36-40","41-45")))</f>
        <v>26-30</v>
      </c>
      <c r="E31" t="s">
        <v>22</v>
      </c>
      <c r="F31" t="s">
        <v>13</v>
      </c>
      <c r="G31" s="2">
        <v>1500.1</v>
      </c>
      <c r="H31">
        <v>21</v>
      </c>
      <c r="I31">
        <v>4.9000000000000004</v>
      </c>
      <c r="J31" t="b">
        <v>0</v>
      </c>
      <c r="K31">
        <v>10</v>
      </c>
      <c r="L31" t="s">
        <v>14</v>
      </c>
    </row>
    <row r="32" spans="1:12" x14ac:dyDescent="0.35">
      <c r="A32">
        <v>129</v>
      </c>
      <c r="B32" t="s">
        <v>15</v>
      </c>
      <c r="C32">
        <v>32</v>
      </c>
      <c r="D32" t="str">
        <f>IF(Customer_Analytics[[#This Row],[Age]]&lt;=30,"26-30",IF(Customer_Analytics[[#This Row],[Age]]&lt;=35,"31-35",IF(Customer_Analytics[[#This Row],[Age]]&lt;=40,"36-40","41-45")))</f>
        <v>31-35</v>
      </c>
      <c r="E32" t="s">
        <v>23</v>
      </c>
      <c r="F32" t="s">
        <v>17</v>
      </c>
      <c r="G32" s="2">
        <v>670.3</v>
      </c>
      <c r="H32">
        <v>10</v>
      </c>
      <c r="I32">
        <v>3.8</v>
      </c>
      <c r="J32" t="b">
        <v>1</v>
      </c>
      <c r="K32">
        <v>33</v>
      </c>
      <c r="L32" t="s">
        <v>21</v>
      </c>
    </row>
    <row r="33" spans="1:12" x14ac:dyDescent="0.35">
      <c r="A33">
        <v>130</v>
      </c>
      <c r="B33" t="s">
        <v>11</v>
      </c>
      <c r="C33">
        <v>36</v>
      </c>
      <c r="D33" t="str">
        <f>IF(Customer_Analytics[[#This Row],[Age]]&lt;=30,"26-30",IF(Customer_Analytics[[#This Row],[Age]]&lt;=35,"31-35",IF(Customer_Analytics[[#This Row],[Age]]&lt;=40,"36-40","41-45")))</f>
        <v>36-40</v>
      </c>
      <c r="E33" t="s">
        <v>24</v>
      </c>
      <c r="F33" t="s">
        <v>20</v>
      </c>
      <c r="G33" s="2">
        <v>460.5</v>
      </c>
      <c r="H33">
        <v>8</v>
      </c>
      <c r="I33">
        <v>3.1</v>
      </c>
      <c r="J33" t="b">
        <v>0</v>
      </c>
      <c r="K33">
        <v>19</v>
      </c>
      <c r="L33" t="s">
        <v>18</v>
      </c>
    </row>
    <row r="34" spans="1:12" x14ac:dyDescent="0.35">
      <c r="A34">
        <v>131</v>
      </c>
      <c r="B34" t="s">
        <v>11</v>
      </c>
      <c r="C34">
        <v>30</v>
      </c>
      <c r="D34" t="str">
        <f>IF(Customer_Analytics[[#This Row],[Age]]&lt;=30,"26-30",IF(Customer_Analytics[[#This Row],[Age]]&lt;=35,"31-35",IF(Customer_Analytics[[#This Row],[Age]]&lt;=40,"36-40","41-45")))</f>
        <v>26-30</v>
      </c>
      <c r="E34" t="s">
        <v>12</v>
      </c>
      <c r="F34" t="s">
        <v>13</v>
      </c>
      <c r="G34" s="2">
        <v>1190.8</v>
      </c>
      <c r="H34">
        <v>16</v>
      </c>
      <c r="I34">
        <v>4.5</v>
      </c>
      <c r="J34" t="b">
        <v>1</v>
      </c>
      <c r="K34">
        <v>20</v>
      </c>
      <c r="L34" t="s">
        <v>14</v>
      </c>
    </row>
    <row r="35" spans="1:12" x14ac:dyDescent="0.35">
      <c r="A35">
        <v>132</v>
      </c>
      <c r="B35" t="s">
        <v>15</v>
      </c>
      <c r="C35">
        <v>33</v>
      </c>
      <c r="D35" t="str">
        <f>IF(Customer_Analytics[[#This Row],[Age]]&lt;=30,"26-30",IF(Customer_Analytics[[#This Row],[Age]]&lt;=35,"31-35",IF(Customer_Analytics[[#This Row],[Age]]&lt;=40,"36-40","41-45")))</f>
        <v>31-35</v>
      </c>
      <c r="E35" t="s">
        <v>16</v>
      </c>
      <c r="F35" t="s">
        <v>17</v>
      </c>
      <c r="G35" s="2">
        <v>830.75</v>
      </c>
      <c r="H35">
        <v>13</v>
      </c>
      <c r="I35">
        <v>4.2</v>
      </c>
      <c r="J35" t="b">
        <v>0</v>
      </c>
      <c r="K35">
        <v>14</v>
      </c>
      <c r="L35" t="s">
        <v>14</v>
      </c>
    </row>
    <row r="36" spans="1:12" x14ac:dyDescent="0.35">
      <c r="A36">
        <v>133</v>
      </c>
      <c r="B36" t="s">
        <v>11</v>
      </c>
      <c r="C36">
        <v>42</v>
      </c>
      <c r="D36" t="str">
        <f>IF(Customer_Analytics[[#This Row],[Age]]&lt;=30,"26-30",IF(Customer_Analytics[[#This Row],[Age]]&lt;=35,"31-35",IF(Customer_Analytics[[#This Row],[Age]]&lt;=40,"36-40","41-45")))</f>
        <v>41-45</v>
      </c>
      <c r="E36" t="s">
        <v>19</v>
      </c>
      <c r="F36" t="s">
        <v>20</v>
      </c>
      <c r="G36" s="2">
        <v>520.4</v>
      </c>
      <c r="H36">
        <v>9</v>
      </c>
      <c r="I36">
        <v>3.5</v>
      </c>
      <c r="J36" t="b">
        <v>1</v>
      </c>
      <c r="K36">
        <v>37</v>
      </c>
      <c r="L36" t="s">
        <v>21</v>
      </c>
    </row>
    <row r="37" spans="1:12" x14ac:dyDescent="0.35">
      <c r="A37">
        <v>134</v>
      </c>
      <c r="B37" t="s">
        <v>15</v>
      </c>
      <c r="C37">
        <v>29</v>
      </c>
      <c r="D37" t="str">
        <f>IF(Customer_Analytics[[#This Row],[Age]]&lt;=30,"26-30",IF(Customer_Analytics[[#This Row],[Age]]&lt;=35,"31-35",IF(Customer_Analytics[[#This Row],[Age]]&lt;=40,"36-40","41-45")))</f>
        <v>26-30</v>
      </c>
      <c r="E37" t="s">
        <v>22</v>
      </c>
      <c r="F37" t="s">
        <v>13</v>
      </c>
      <c r="G37" s="2">
        <v>1370.2</v>
      </c>
      <c r="H37">
        <v>18</v>
      </c>
      <c r="I37">
        <v>4.7</v>
      </c>
      <c r="J37" t="b">
        <v>0</v>
      </c>
      <c r="K37">
        <v>10</v>
      </c>
      <c r="L37" t="s">
        <v>14</v>
      </c>
    </row>
    <row r="38" spans="1:12" x14ac:dyDescent="0.35">
      <c r="A38">
        <v>135</v>
      </c>
      <c r="B38" t="s">
        <v>15</v>
      </c>
      <c r="C38">
        <v>26</v>
      </c>
      <c r="D38" t="str">
        <f>IF(Customer_Analytics[[#This Row],[Age]]&lt;=30,"26-30",IF(Customer_Analytics[[#This Row],[Age]]&lt;=35,"31-35",IF(Customer_Analytics[[#This Row],[Age]]&lt;=40,"36-40","41-45")))</f>
        <v>26-30</v>
      </c>
      <c r="E38" t="s">
        <v>23</v>
      </c>
      <c r="F38" t="s">
        <v>17</v>
      </c>
      <c r="G38" s="2">
        <v>690.6</v>
      </c>
      <c r="H38">
        <v>12</v>
      </c>
      <c r="I38">
        <v>3.9</v>
      </c>
      <c r="J38" t="b">
        <v>1</v>
      </c>
      <c r="K38">
        <v>47</v>
      </c>
      <c r="L38" t="s">
        <v>21</v>
      </c>
    </row>
    <row r="39" spans="1:12" x14ac:dyDescent="0.35">
      <c r="A39">
        <v>136</v>
      </c>
      <c r="B39" t="s">
        <v>11</v>
      </c>
      <c r="C39">
        <v>38</v>
      </c>
      <c r="D39" t="str">
        <f>IF(Customer_Analytics[[#This Row],[Age]]&lt;=30,"26-30",IF(Customer_Analytics[[#This Row],[Age]]&lt;=35,"31-35",IF(Customer_Analytics[[#This Row],[Age]]&lt;=40,"36-40","41-45")))</f>
        <v>36-40</v>
      </c>
      <c r="E39" t="s">
        <v>24</v>
      </c>
      <c r="F39" t="s">
        <v>20</v>
      </c>
      <c r="G39" s="2">
        <v>440.9</v>
      </c>
      <c r="H39">
        <v>8</v>
      </c>
      <c r="I39">
        <v>3.2</v>
      </c>
      <c r="J39" t="b">
        <v>0</v>
      </c>
      <c r="K39">
        <v>24</v>
      </c>
      <c r="L39" t="s">
        <v>18</v>
      </c>
    </row>
    <row r="40" spans="1:12" x14ac:dyDescent="0.35">
      <c r="A40">
        <v>137</v>
      </c>
      <c r="B40" t="s">
        <v>11</v>
      </c>
      <c r="C40">
        <v>32</v>
      </c>
      <c r="D40" t="str">
        <f>IF(Customer_Analytics[[#This Row],[Age]]&lt;=30,"26-30",IF(Customer_Analytics[[#This Row],[Age]]&lt;=35,"31-35",IF(Customer_Analytics[[#This Row],[Age]]&lt;=40,"36-40","41-45")))</f>
        <v>31-35</v>
      </c>
      <c r="E40" t="s">
        <v>12</v>
      </c>
      <c r="F40" t="s">
        <v>13</v>
      </c>
      <c r="G40" s="2">
        <v>1160.3</v>
      </c>
      <c r="H40">
        <v>14</v>
      </c>
      <c r="I40">
        <v>4.4000000000000004</v>
      </c>
      <c r="J40" t="b">
        <v>1</v>
      </c>
      <c r="K40">
        <v>22</v>
      </c>
      <c r="L40" t="s">
        <v>14</v>
      </c>
    </row>
    <row r="41" spans="1:12" x14ac:dyDescent="0.35">
      <c r="A41">
        <v>138</v>
      </c>
      <c r="B41" t="s">
        <v>15</v>
      </c>
      <c r="C41">
        <v>34</v>
      </c>
      <c r="D41" t="str">
        <f>IF(Customer_Analytics[[#This Row],[Age]]&lt;=30,"26-30",IF(Customer_Analytics[[#This Row],[Age]]&lt;=35,"31-35",IF(Customer_Analytics[[#This Row],[Age]]&lt;=40,"36-40","41-45")))</f>
        <v>31-35</v>
      </c>
      <c r="E41" t="s">
        <v>16</v>
      </c>
      <c r="F41" t="s">
        <v>17</v>
      </c>
      <c r="G41" s="2">
        <v>800.2</v>
      </c>
      <c r="H41">
        <v>11</v>
      </c>
      <c r="I41">
        <v>4.0999999999999996</v>
      </c>
      <c r="J41" t="b">
        <v>0</v>
      </c>
      <c r="K41">
        <v>17</v>
      </c>
      <c r="L41" t="s">
        <v>18</v>
      </c>
    </row>
    <row r="42" spans="1:12" x14ac:dyDescent="0.35">
      <c r="A42">
        <v>139</v>
      </c>
      <c r="B42" t="s">
        <v>11</v>
      </c>
      <c r="C42">
        <v>43</v>
      </c>
      <c r="D42" t="str">
        <f>IF(Customer_Analytics[[#This Row],[Age]]&lt;=30,"26-30",IF(Customer_Analytics[[#This Row],[Age]]&lt;=35,"31-35",IF(Customer_Analytics[[#This Row],[Age]]&lt;=40,"36-40","41-45")))</f>
        <v>41-45</v>
      </c>
      <c r="E42" t="s">
        <v>19</v>
      </c>
      <c r="F42" t="s">
        <v>20</v>
      </c>
      <c r="G42" s="2">
        <v>500.75</v>
      </c>
      <c r="H42">
        <v>10</v>
      </c>
      <c r="I42">
        <v>3.3</v>
      </c>
      <c r="J42" t="b">
        <v>1</v>
      </c>
      <c r="K42">
        <v>40</v>
      </c>
      <c r="L42" t="s">
        <v>21</v>
      </c>
    </row>
    <row r="43" spans="1:12" x14ac:dyDescent="0.35">
      <c r="A43">
        <v>140</v>
      </c>
      <c r="B43" t="s">
        <v>15</v>
      </c>
      <c r="C43">
        <v>30</v>
      </c>
      <c r="D43" t="str">
        <f>IF(Customer_Analytics[[#This Row],[Age]]&lt;=30,"26-30",IF(Customer_Analytics[[#This Row],[Age]]&lt;=35,"31-35",IF(Customer_Analytics[[#This Row],[Age]]&lt;=40,"36-40","41-45")))</f>
        <v>26-30</v>
      </c>
      <c r="E43" t="s">
        <v>22</v>
      </c>
      <c r="F43" t="s">
        <v>13</v>
      </c>
      <c r="G43" s="2">
        <v>1460.5</v>
      </c>
      <c r="H43">
        <v>20</v>
      </c>
      <c r="I43">
        <v>4.8</v>
      </c>
      <c r="J43" t="b">
        <v>0</v>
      </c>
      <c r="K43">
        <v>12</v>
      </c>
      <c r="L43" t="s">
        <v>14</v>
      </c>
    </row>
    <row r="44" spans="1:12" x14ac:dyDescent="0.35">
      <c r="A44">
        <v>141</v>
      </c>
      <c r="B44" t="s">
        <v>15</v>
      </c>
      <c r="C44">
        <v>27</v>
      </c>
      <c r="D44" t="str">
        <f>IF(Customer_Analytics[[#This Row],[Age]]&lt;=30,"26-30",IF(Customer_Analytics[[#This Row],[Age]]&lt;=35,"31-35",IF(Customer_Analytics[[#This Row],[Age]]&lt;=40,"36-40","41-45")))</f>
        <v>26-30</v>
      </c>
      <c r="E44" t="s">
        <v>23</v>
      </c>
      <c r="F44" t="s">
        <v>17</v>
      </c>
      <c r="G44" s="2">
        <v>700.4</v>
      </c>
      <c r="H44">
        <v>13</v>
      </c>
      <c r="I44">
        <v>4</v>
      </c>
      <c r="J44" t="b">
        <v>1</v>
      </c>
      <c r="K44">
        <v>53</v>
      </c>
      <c r="L44" t="s">
        <v>21</v>
      </c>
    </row>
    <row r="45" spans="1:12" x14ac:dyDescent="0.35">
      <c r="A45">
        <v>142</v>
      </c>
      <c r="B45" t="s">
        <v>11</v>
      </c>
      <c r="C45">
        <v>37</v>
      </c>
      <c r="D45" t="str">
        <f>IF(Customer_Analytics[[#This Row],[Age]]&lt;=30,"26-30",IF(Customer_Analytics[[#This Row],[Age]]&lt;=35,"31-35",IF(Customer_Analytics[[#This Row],[Age]]&lt;=40,"36-40","41-45")))</f>
        <v>36-40</v>
      </c>
      <c r="E45" t="s">
        <v>24</v>
      </c>
      <c r="F45" t="s">
        <v>20</v>
      </c>
      <c r="G45" s="2">
        <v>420.8</v>
      </c>
      <c r="H45">
        <v>7</v>
      </c>
      <c r="I45">
        <v>3.1</v>
      </c>
      <c r="J45" t="b">
        <v>0</v>
      </c>
      <c r="K45">
        <v>21</v>
      </c>
      <c r="L45" t="s">
        <v>18</v>
      </c>
    </row>
    <row r="46" spans="1:12" x14ac:dyDescent="0.35">
      <c r="A46">
        <v>143</v>
      </c>
      <c r="B46" t="s">
        <v>11</v>
      </c>
      <c r="C46">
        <v>31</v>
      </c>
      <c r="D46" t="str">
        <f>IF(Customer_Analytics[[#This Row],[Age]]&lt;=30,"26-30",IF(Customer_Analytics[[#This Row],[Age]]&lt;=35,"31-35",IF(Customer_Analytics[[#This Row],[Age]]&lt;=40,"36-40","41-45")))</f>
        <v>31-35</v>
      </c>
      <c r="E46" t="s">
        <v>12</v>
      </c>
      <c r="F46" t="s">
        <v>13</v>
      </c>
      <c r="G46" s="2">
        <v>1130.5999999999999</v>
      </c>
      <c r="H46">
        <v>15</v>
      </c>
      <c r="I46">
        <v>4.5</v>
      </c>
      <c r="J46" t="b">
        <v>1</v>
      </c>
      <c r="K46">
        <v>26</v>
      </c>
      <c r="L46" t="s">
        <v>14</v>
      </c>
    </row>
    <row r="47" spans="1:12" x14ac:dyDescent="0.35">
      <c r="A47">
        <v>144</v>
      </c>
      <c r="B47" t="s">
        <v>15</v>
      </c>
      <c r="C47">
        <v>35</v>
      </c>
      <c r="D47" t="str">
        <f>IF(Customer_Analytics[[#This Row],[Age]]&lt;=30,"26-30",IF(Customer_Analytics[[#This Row],[Age]]&lt;=35,"31-35",IF(Customer_Analytics[[#This Row],[Age]]&lt;=40,"36-40","41-45")))</f>
        <v>31-35</v>
      </c>
      <c r="E47" t="s">
        <v>16</v>
      </c>
      <c r="F47" t="s">
        <v>17</v>
      </c>
      <c r="G47" s="2">
        <v>820.9</v>
      </c>
      <c r="H47">
        <v>12</v>
      </c>
      <c r="I47">
        <v>4.3</v>
      </c>
      <c r="J47" t="b">
        <v>0</v>
      </c>
      <c r="K47">
        <v>12</v>
      </c>
      <c r="L47" t="s">
        <v>18</v>
      </c>
    </row>
    <row r="48" spans="1:12" x14ac:dyDescent="0.35">
      <c r="A48">
        <v>145</v>
      </c>
      <c r="B48" t="s">
        <v>11</v>
      </c>
      <c r="C48">
        <v>41</v>
      </c>
      <c r="D48" t="str">
        <f>IF(Customer_Analytics[[#This Row],[Age]]&lt;=30,"26-30",IF(Customer_Analytics[[#This Row],[Age]]&lt;=35,"31-35",IF(Customer_Analytics[[#This Row],[Age]]&lt;=40,"36-40","41-45")))</f>
        <v>41-45</v>
      </c>
      <c r="E48" t="s">
        <v>19</v>
      </c>
      <c r="F48" t="s">
        <v>20</v>
      </c>
      <c r="G48" s="2">
        <v>480.25</v>
      </c>
      <c r="H48">
        <v>9</v>
      </c>
      <c r="I48">
        <v>3.6</v>
      </c>
      <c r="J48" t="b">
        <v>1</v>
      </c>
      <c r="K48">
        <v>38</v>
      </c>
      <c r="L48" t="s">
        <v>21</v>
      </c>
    </row>
    <row r="49" spans="1:12" x14ac:dyDescent="0.35">
      <c r="A49">
        <v>146</v>
      </c>
      <c r="B49" t="s">
        <v>15</v>
      </c>
      <c r="C49">
        <v>28</v>
      </c>
      <c r="D49" t="str">
        <f>IF(Customer_Analytics[[#This Row],[Age]]&lt;=30,"26-30",IF(Customer_Analytics[[#This Row],[Age]]&lt;=35,"31-35",IF(Customer_Analytics[[#This Row],[Age]]&lt;=40,"36-40","41-45")))</f>
        <v>26-30</v>
      </c>
      <c r="E49" t="s">
        <v>22</v>
      </c>
      <c r="F49" t="s">
        <v>13</v>
      </c>
      <c r="G49" s="2">
        <v>1490.1</v>
      </c>
      <c r="H49">
        <v>21</v>
      </c>
      <c r="I49">
        <v>4.9000000000000004</v>
      </c>
      <c r="J49" t="b">
        <v>0</v>
      </c>
      <c r="K49">
        <v>9</v>
      </c>
      <c r="L49" t="s">
        <v>14</v>
      </c>
    </row>
    <row r="50" spans="1:12" x14ac:dyDescent="0.35">
      <c r="A50">
        <v>147</v>
      </c>
      <c r="B50" t="s">
        <v>15</v>
      </c>
      <c r="C50">
        <v>32</v>
      </c>
      <c r="D50" t="str">
        <f>IF(Customer_Analytics[[#This Row],[Age]]&lt;=30,"26-30",IF(Customer_Analytics[[#This Row],[Age]]&lt;=35,"31-35",IF(Customer_Analytics[[#This Row],[Age]]&lt;=40,"36-40","41-45")))</f>
        <v>31-35</v>
      </c>
      <c r="E50" t="s">
        <v>23</v>
      </c>
      <c r="F50" t="s">
        <v>17</v>
      </c>
      <c r="G50" s="2">
        <v>680.3</v>
      </c>
      <c r="H50">
        <v>10</v>
      </c>
      <c r="I50">
        <v>3.8</v>
      </c>
      <c r="J50" t="b">
        <v>1</v>
      </c>
      <c r="K50">
        <v>32</v>
      </c>
      <c r="L50" t="s">
        <v>21</v>
      </c>
    </row>
    <row r="51" spans="1:12" x14ac:dyDescent="0.35">
      <c r="A51">
        <v>148</v>
      </c>
      <c r="B51" t="s">
        <v>11</v>
      </c>
      <c r="C51">
        <v>36</v>
      </c>
      <c r="D51" t="str">
        <f>IF(Customer_Analytics[[#This Row],[Age]]&lt;=30,"26-30",IF(Customer_Analytics[[#This Row],[Age]]&lt;=35,"31-35",IF(Customer_Analytics[[#This Row],[Age]]&lt;=40,"36-40","41-45")))</f>
        <v>36-40</v>
      </c>
      <c r="E51" t="s">
        <v>24</v>
      </c>
      <c r="F51" t="s">
        <v>20</v>
      </c>
      <c r="G51" s="2">
        <v>470.5</v>
      </c>
      <c r="H51">
        <v>8</v>
      </c>
      <c r="I51">
        <v>3</v>
      </c>
      <c r="J51" t="b">
        <v>0</v>
      </c>
      <c r="K51">
        <v>18</v>
      </c>
      <c r="L51" t="s">
        <v>18</v>
      </c>
    </row>
    <row r="52" spans="1:12" x14ac:dyDescent="0.35">
      <c r="A52">
        <v>149</v>
      </c>
      <c r="B52" t="s">
        <v>11</v>
      </c>
      <c r="C52">
        <v>30</v>
      </c>
      <c r="D52" t="str">
        <f>IF(Customer_Analytics[[#This Row],[Age]]&lt;=30,"26-30",IF(Customer_Analytics[[#This Row],[Age]]&lt;=35,"31-35",IF(Customer_Analytics[[#This Row],[Age]]&lt;=40,"36-40","41-45")))</f>
        <v>26-30</v>
      </c>
      <c r="E52" t="s">
        <v>12</v>
      </c>
      <c r="F52" t="s">
        <v>13</v>
      </c>
      <c r="G52" s="2">
        <v>1180.8</v>
      </c>
      <c r="H52">
        <v>16</v>
      </c>
      <c r="I52">
        <v>4.7</v>
      </c>
      <c r="J52" t="b">
        <v>1</v>
      </c>
      <c r="K52">
        <v>19</v>
      </c>
      <c r="L52" t="s">
        <v>14</v>
      </c>
    </row>
    <row r="53" spans="1:12" x14ac:dyDescent="0.35">
      <c r="A53">
        <v>150</v>
      </c>
      <c r="B53" t="s">
        <v>15</v>
      </c>
      <c r="C53">
        <v>34</v>
      </c>
      <c r="D53" t="str">
        <f>IF(Customer_Analytics[[#This Row],[Age]]&lt;=30,"26-30",IF(Customer_Analytics[[#This Row],[Age]]&lt;=35,"31-35",IF(Customer_Analytics[[#This Row],[Age]]&lt;=40,"36-40","41-45")))</f>
        <v>31-35</v>
      </c>
      <c r="E53" t="s">
        <v>16</v>
      </c>
      <c r="F53" t="s">
        <v>17</v>
      </c>
      <c r="G53" s="2">
        <v>790.2</v>
      </c>
      <c r="H53">
        <v>11</v>
      </c>
      <c r="I53">
        <v>4</v>
      </c>
      <c r="J53" t="b">
        <v>0</v>
      </c>
      <c r="K53">
        <v>15</v>
      </c>
      <c r="L53" t="s">
        <v>18</v>
      </c>
    </row>
    <row r="54" spans="1:12" x14ac:dyDescent="0.35">
      <c r="A54">
        <v>151</v>
      </c>
      <c r="B54" t="s">
        <v>11</v>
      </c>
      <c r="C54">
        <v>43</v>
      </c>
      <c r="D54" t="str">
        <f>IF(Customer_Analytics[[#This Row],[Age]]&lt;=30,"26-30",IF(Customer_Analytics[[#This Row],[Age]]&lt;=35,"31-35",IF(Customer_Analytics[[#This Row],[Age]]&lt;=40,"36-40","41-45")))</f>
        <v>41-45</v>
      </c>
      <c r="E54" t="s">
        <v>19</v>
      </c>
      <c r="F54" t="s">
        <v>20</v>
      </c>
      <c r="G54" s="2">
        <v>505.75</v>
      </c>
      <c r="H54">
        <v>10</v>
      </c>
      <c r="I54">
        <v>3.3</v>
      </c>
      <c r="J54" t="b">
        <v>1</v>
      </c>
      <c r="K54">
        <v>39</v>
      </c>
      <c r="L54" t="s">
        <v>21</v>
      </c>
    </row>
    <row r="55" spans="1:12" x14ac:dyDescent="0.35">
      <c r="A55">
        <v>152</v>
      </c>
      <c r="B55" t="s">
        <v>15</v>
      </c>
      <c r="C55">
        <v>30</v>
      </c>
      <c r="D55" t="str">
        <f>IF(Customer_Analytics[[#This Row],[Age]]&lt;=30,"26-30",IF(Customer_Analytics[[#This Row],[Age]]&lt;=35,"31-35",IF(Customer_Analytics[[#This Row],[Age]]&lt;=40,"36-40","41-45")))</f>
        <v>26-30</v>
      </c>
      <c r="E55" t="s">
        <v>22</v>
      </c>
      <c r="F55" t="s">
        <v>13</v>
      </c>
      <c r="G55" s="2">
        <v>1470.5</v>
      </c>
      <c r="H55">
        <v>20</v>
      </c>
      <c r="I55">
        <v>4.8</v>
      </c>
      <c r="J55" t="b">
        <v>0</v>
      </c>
      <c r="K55">
        <v>13</v>
      </c>
      <c r="L55" t="s">
        <v>14</v>
      </c>
    </row>
    <row r="56" spans="1:12" x14ac:dyDescent="0.35">
      <c r="A56">
        <v>153</v>
      </c>
      <c r="B56" t="s">
        <v>15</v>
      </c>
      <c r="C56">
        <v>27</v>
      </c>
      <c r="D56" t="str">
        <f>IF(Customer_Analytics[[#This Row],[Age]]&lt;=30,"26-30",IF(Customer_Analytics[[#This Row],[Age]]&lt;=35,"31-35",IF(Customer_Analytics[[#This Row],[Age]]&lt;=40,"36-40","41-45")))</f>
        <v>26-30</v>
      </c>
      <c r="E56" t="s">
        <v>23</v>
      </c>
      <c r="F56" t="s">
        <v>17</v>
      </c>
      <c r="G56" s="2">
        <v>710.4</v>
      </c>
      <c r="H56">
        <v>13</v>
      </c>
      <c r="I56">
        <v>4.0999999999999996</v>
      </c>
      <c r="J56" t="b">
        <v>1</v>
      </c>
      <c r="K56">
        <v>54</v>
      </c>
      <c r="L56" t="s">
        <v>21</v>
      </c>
    </row>
    <row r="57" spans="1:12" x14ac:dyDescent="0.35">
      <c r="A57">
        <v>154</v>
      </c>
      <c r="B57" t="s">
        <v>11</v>
      </c>
      <c r="C57">
        <v>37</v>
      </c>
      <c r="D57" t="str">
        <f>IF(Customer_Analytics[[#This Row],[Age]]&lt;=30,"26-30",IF(Customer_Analytics[[#This Row],[Age]]&lt;=35,"31-35",IF(Customer_Analytics[[#This Row],[Age]]&lt;=40,"36-40","41-45")))</f>
        <v>36-40</v>
      </c>
      <c r="E57" t="s">
        <v>24</v>
      </c>
      <c r="F57" t="s">
        <v>20</v>
      </c>
      <c r="G57" s="2">
        <v>430.8</v>
      </c>
      <c r="H57">
        <v>7</v>
      </c>
      <c r="I57">
        <v>3.4</v>
      </c>
      <c r="J57" t="b">
        <v>0</v>
      </c>
      <c r="K57">
        <v>23</v>
      </c>
      <c r="L57" t="s">
        <v>18</v>
      </c>
    </row>
    <row r="58" spans="1:12" x14ac:dyDescent="0.35">
      <c r="A58">
        <v>155</v>
      </c>
      <c r="B58" t="s">
        <v>11</v>
      </c>
      <c r="C58">
        <v>31</v>
      </c>
      <c r="D58" t="str">
        <f>IF(Customer_Analytics[[#This Row],[Age]]&lt;=30,"26-30",IF(Customer_Analytics[[#This Row],[Age]]&lt;=35,"31-35",IF(Customer_Analytics[[#This Row],[Age]]&lt;=40,"36-40","41-45")))</f>
        <v>31-35</v>
      </c>
      <c r="E58" t="s">
        <v>12</v>
      </c>
      <c r="F58" t="s">
        <v>13</v>
      </c>
      <c r="G58" s="2">
        <v>1140.5999999999999</v>
      </c>
      <c r="H58">
        <v>15</v>
      </c>
      <c r="I58">
        <v>4.5999999999999996</v>
      </c>
      <c r="J58" t="b">
        <v>1</v>
      </c>
      <c r="K58">
        <v>27</v>
      </c>
      <c r="L58" t="s">
        <v>14</v>
      </c>
    </row>
    <row r="59" spans="1:12" x14ac:dyDescent="0.35">
      <c r="A59">
        <v>156</v>
      </c>
      <c r="B59" t="s">
        <v>15</v>
      </c>
      <c r="C59">
        <v>35</v>
      </c>
      <c r="D59" t="str">
        <f>IF(Customer_Analytics[[#This Row],[Age]]&lt;=30,"26-30",IF(Customer_Analytics[[#This Row],[Age]]&lt;=35,"31-35",IF(Customer_Analytics[[#This Row],[Age]]&lt;=40,"36-40","41-45")))</f>
        <v>31-35</v>
      </c>
      <c r="E59" t="s">
        <v>16</v>
      </c>
      <c r="F59" t="s">
        <v>17</v>
      </c>
      <c r="G59" s="2">
        <v>810.9</v>
      </c>
      <c r="H59">
        <v>12</v>
      </c>
      <c r="I59">
        <v>4.3</v>
      </c>
      <c r="J59" t="b">
        <v>0</v>
      </c>
      <c r="K59">
        <v>13</v>
      </c>
      <c r="L59" t="s">
        <v>18</v>
      </c>
    </row>
    <row r="60" spans="1:12" x14ac:dyDescent="0.35">
      <c r="A60">
        <v>157</v>
      </c>
      <c r="B60" t="s">
        <v>11</v>
      </c>
      <c r="C60">
        <v>41</v>
      </c>
      <c r="D60" t="str">
        <f>IF(Customer_Analytics[[#This Row],[Age]]&lt;=30,"26-30",IF(Customer_Analytics[[#This Row],[Age]]&lt;=35,"31-35",IF(Customer_Analytics[[#This Row],[Age]]&lt;=40,"36-40","41-45")))</f>
        <v>41-45</v>
      </c>
      <c r="E60" t="s">
        <v>19</v>
      </c>
      <c r="F60" t="s">
        <v>20</v>
      </c>
      <c r="G60" s="2">
        <v>485.25</v>
      </c>
      <c r="H60">
        <v>9</v>
      </c>
      <c r="I60">
        <v>3.6</v>
      </c>
      <c r="J60" t="b">
        <v>1</v>
      </c>
      <c r="K60">
        <v>39</v>
      </c>
      <c r="L60" t="s">
        <v>21</v>
      </c>
    </row>
    <row r="61" spans="1:12" x14ac:dyDescent="0.35">
      <c r="A61">
        <v>158</v>
      </c>
      <c r="B61" t="s">
        <v>15</v>
      </c>
      <c r="C61">
        <v>28</v>
      </c>
      <c r="D61" t="str">
        <f>IF(Customer_Analytics[[#This Row],[Age]]&lt;=30,"26-30",IF(Customer_Analytics[[#This Row],[Age]]&lt;=35,"31-35",IF(Customer_Analytics[[#This Row],[Age]]&lt;=40,"36-40","41-45")))</f>
        <v>26-30</v>
      </c>
      <c r="E61" t="s">
        <v>22</v>
      </c>
      <c r="F61" t="s">
        <v>13</v>
      </c>
      <c r="G61" s="2">
        <v>1500.1</v>
      </c>
      <c r="H61">
        <v>21</v>
      </c>
      <c r="I61">
        <v>4.9000000000000004</v>
      </c>
      <c r="J61" t="b">
        <v>0</v>
      </c>
      <c r="K61">
        <v>10</v>
      </c>
      <c r="L61" t="s">
        <v>14</v>
      </c>
    </row>
    <row r="62" spans="1:12" x14ac:dyDescent="0.35">
      <c r="A62">
        <v>159</v>
      </c>
      <c r="B62" t="s">
        <v>15</v>
      </c>
      <c r="C62">
        <v>32</v>
      </c>
      <c r="D62" t="str">
        <f>IF(Customer_Analytics[[#This Row],[Age]]&lt;=30,"26-30",IF(Customer_Analytics[[#This Row],[Age]]&lt;=35,"31-35",IF(Customer_Analytics[[#This Row],[Age]]&lt;=40,"36-40","41-45")))</f>
        <v>31-35</v>
      </c>
      <c r="E62" t="s">
        <v>23</v>
      </c>
      <c r="F62" t="s">
        <v>17</v>
      </c>
      <c r="G62" s="2">
        <v>670.3</v>
      </c>
      <c r="H62">
        <v>10</v>
      </c>
      <c r="I62">
        <v>3.8</v>
      </c>
      <c r="J62" t="b">
        <v>1</v>
      </c>
      <c r="K62">
        <v>33</v>
      </c>
      <c r="L62" t="s">
        <v>21</v>
      </c>
    </row>
    <row r="63" spans="1:12" x14ac:dyDescent="0.35">
      <c r="A63">
        <v>160</v>
      </c>
      <c r="B63" t="s">
        <v>11</v>
      </c>
      <c r="C63">
        <v>36</v>
      </c>
      <c r="D63" t="str">
        <f>IF(Customer_Analytics[[#This Row],[Age]]&lt;=30,"26-30",IF(Customer_Analytics[[#This Row],[Age]]&lt;=35,"31-35",IF(Customer_Analytics[[#This Row],[Age]]&lt;=40,"36-40","41-45")))</f>
        <v>36-40</v>
      </c>
      <c r="E63" t="s">
        <v>24</v>
      </c>
      <c r="F63" t="s">
        <v>20</v>
      </c>
      <c r="G63" s="2">
        <v>460.5</v>
      </c>
      <c r="H63">
        <v>8</v>
      </c>
      <c r="I63">
        <v>3.1</v>
      </c>
      <c r="J63" t="b">
        <v>0</v>
      </c>
      <c r="K63">
        <v>19</v>
      </c>
      <c r="L63" t="s">
        <v>18</v>
      </c>
    </row>
    <row r="64" spans="1:12" x14ac:dyDescent="0.35">
      <c r="A64">
        <v>161</v>
      </c>
      <c r="B64" t="s">
        <v>11</v>
      </c>
      <c r="C64">
        <v>30</v>
      </c>
      <c r="D64" t="str">
        <f>IF(Customer_Analytics[[#This Row],[Age]]&lt;=30,"26-30",IF(Customer_Analytics[[#This Row],[Age]]&lt;=35,"31-35",IF(Customer_Analytics[[#This Row],[Age]]&lt;=40,"36-40","41-45")))</f>
        <v>26-30</v>
      </c>
      <c r="E64" t="s">
        <v>12</v>
      </c>
      <c r="F64" t="s">
        <v>13</v>
      </c>
      <c r="G64" s="2">
        <v>1190.8</v>
      </c>
      <c r="H64">
        <v>16</v>
      </c>
      <c r="I64">
        <v>4.5</v>
      </c>
      <c r="J64" t="b">
        <v>1</v>
      </c>
      <c r="K64">
        <v>20</v>
      </c>
      <c r="L64" t="s">
        <v>14</v>
      </c>
    </row>
    <row r="65" spans="1:12" x14ac:dyDescent="0.35">
      <c r="A65">
        <v>162</v>
      </c>
      <c r="B65" t="s">
        <v>15</v>
      </c>
      <c r="C65">
        <v>33</v>
      </c>
      <c r="D65" t="str">
        <f>IF(Customer_Analytics[[#This Row],[Age]]&lt;=30,"26-30",IF(Customer_Analytics[[#This Row],[Age]]&lt;=35,"31-35",IF(Customer_Analytics[[#This Row],[Age]]&lt;=40,"36-40","41-45")))</f>
        <v>31-35</v>
      </c>
      <c r="E65" t="s">
        <v>16</v>
      </c>
      <c r="F65" t="s">
        <v>17</v>
      </c>
      <c r="G65" s="2">
        <v>830.75</v>
      </c>
      <c r="H65">
        <v>13</v>
      </c>
      <c r="I65">
        <v>4.2</v>
      </c>
      <c r="J65" t="b">
        <v>0</v>
      </c>
      <c r="K65">
        <v>14</v>
      </c>
      <c r="L65" t="s">
        <v>14</v>
      </c>
    </row>
    <row r="66" spans="1:12" x14ac:dyDescent="0.35">
      <c r="A66">
        <v>163</v>
      </c>
      <c r="B66" t="s">
        <v>11</v>
      </c>
      <c r="C66">
        <v>42</v>
      </c>
      <c r="D66" t="str">
        <f>IF(Customer_Analytics[[#This Row],[Age]]&lt;=30,"26-30",IF(Customer_Analytics[[#This Row],[Age]]&lt;=35,"31-35",IF(Customer_Analytics[[#This Row],[Age]]&lt;=40,"36-40","41-45")))</f>
        <v>41-45</v>
      </c>
      <c r="E66" t="s">
        <v>19</v>
      </c>
      <c r="F66" t="s">
        <v>20</v>
      </c>
      <c r="G66" s="2">
        <v>520.4</v>
      </c>
      <c r="H66">
        <v>9</v>
      </c>
      <c r="I66">
        <v>3.5</v>
      </c>
      <c r="J66" t="b">
        <v>1</v>
      </c>
      <c r="K66">
        <v>37</v>
      </c>
      <c r="L66" t="s">
        <v>21</v>
      </c>
    </row>
    <row r="67" spans="1:12" x14ac:dyDescent="0.35">
      <c r="A67">
        <v>164</v>
      </c>
      <c r="B67" t="s">
        <v>15</v>
      </c>
      <c r="C67">
        <v>29</v>
      </c>
      <c r="D67" t="str">
        <f>IF(Customer_Analytics[[#This Row],[Age]]&lt;=30,"26-30",IF(Customer_Analytics[[#This Row],[Age]]&lt;=35,"31-35",IF(Customer_Analytics[[#This Row],[Age]]&lt;=40,"36-40","41-45")))</f>
        <v>26-30</v>
      </c>
      <c r="E67" t="s">
        <v>22</v>
      </c>
      <c r="F67" t="s">
        <v>13</v>
      </c>
      <c r="G67" s="2">
        <v>1370.2</v>
      </c>
      <c r="H67">
        <v>18</v>
      </c>
      <c r="I67">
        <v>4.7</v>
      </c>
      <c r="J67" t="b">
        <v>0</v>
      </c>
      <c r="K67">
        <v>10</v>
      </c>
      <c r="L67" t="s">
        <v>14</v>
      </c>
    </row>
    <row r="68" spans="1:12" x14ac:dyDescent="0.35">
      <c r="A68">
        <v>165</v>
      </c>
      <c r="B68" t="s">
        <v>15</v>
      </c>
      <c r="C68">
        <v>26</v>
      </c>
      <c r="D68" t="str">
        <f>IF(Customer_Analytics[[#This Row],[Age]]&lt;=30,"26-30",IF(Customer_Analytics[[#This Row],[Age]]&lt;=35,"31-35",IF(Customer_Analytics[[#This Row],[Age]]&lt;=40,"36-40","41-45")))</f>
        <v>26-30</v>
      </c>
      <c r="E68" t="s">
        <v>23</v>
      </c>
      <c r="F68" t="s">
        <v>17</v>
      </c>
      <c r="G68" s="2">
        <v>690.6</v>
      </c>
      <c r="H68">
        <v>12</v>
      </c>
      <c r="I68">
        <v>3.9</v>
      </c>
      <c r="J68" t="b">
        <v>1</v>
      </c>
      <c r="K68">
        <v>47</v>
      </c>
      <c r="L68" t="s">
        <v>21</v>
      </c>
    </row>
    <row r="69" spans="1:12" x14ac:dyDescent="0.35">
      <c r="A69">
        <v>166</v>
      </c>
      <c r="B69" t="s">
        <v>11</v>
      </c>
      <c r="C69">
        <v>38</v>
      </c>
      <c r="D69" t="str">
        <f>IF(Customer_Analytics[[#This Row],[Age]]&lt;=30,"26-30",IF(Customer_Analytics[[#This Row],[Age]]&lt;=35,"31-35",IF(Customer_Analytics[[#This Row],[Age]]&lt;=40,"36-40","41-45")))</f>
        <v>36-40</v>
      </c>
      <c r="E69" t="s">
        <v>24</v>
      </c>
      <c r="F69" t="s">
        <v>20</v>
      </c>
      <c r="G69" s="2">
        <v>440.9</v>
      </c>
      <c r="H69">
        <v>8</v>
      </c>
      <c r="I69">
        <v>3.2</v>
      </c>
      <c r="J69" t="b">
        <v>0</v>
      </c>
      <c r="K69">
        <v>24</v>
      </c>
      <c r="L69" t="s">
        <v>18</v>
      </c>
    </row>
    <row r="70" spans="1:12" x14ac:dyDescent="0.35">
      <c r="A70">
        <v>167</v>
      </c>
      <c r="B70" t="s">
        <v>11</v>
      </c>
      <c r="C70">
        <v>32</v>
      </c>
      <c r="D70" t="str">
        <f>IF(Customer_Analytics[[#This Row],[Age]]&lt;=30,"26-30",IF(Customer_Analytics[[#This Row],[Age]]&lt;=35,"31-35",IF(Customer_Analytics[[#This Row],[Age]]&lt;=40,"36-40","41-45")))</f>
        <v>31-35</v>
      </c>
      <c r="E70" t="s">
        <v>12</v>
      </c>
      <c r="F70" t="s">
        <v>13</v>
      </c>
      <c r="G70" s="2">
        <v>1160.3</v>
      </c>
      <c r="H70">
        <v>14</v>
      </c>
      <c r="I70">
        <v>4.4000000000000004</v>
      </c>
      <c r="J70" t="b">
        <v>1</v>
      </c>
      <c r="K70">
        <v>22</v>
      </c>
      <c r="L70" t="s">
        <v>14</v>
      </c>
    </row>
    <row r="71" spans="1:12" x14ac:dyDescent="0.35">
      <c r="A71">
        <v>168</v>
      </c>
      <c r="B71" t="s">
        <v>15</v>
      </c>
      <c r="C71">
        <v>34</v>
      </c>
      <c r="D71" t="str">
        <f>IF(Customer_Analytics[[#This Row],[Age]]&lt;=30,"26-30",IF(Customer_Analytics[[#This Row],[Age]]&lt;=35,"31-35",IF(Customer_Analytics[[#This Row],[Age]]&lt;=40,"36-40","41-45")))</f>
        <v>31-35</v>
      </c>
      <c r="E71" t="s">
        <v>16</v>
      </c>
      <c r="F71" t="s">
        <v>17</v>
      </c>
      <c r="G71" s="2">
        <v>800.2</v>
      </c>
      <c r="H71">
        <v>11</v>
      </c>
      <c r="I71">
        <v>4.0999999999999996</v>
      </c>
      <c r="J71" t="b">
        <v>0</v>
      </c>
      <c r="K71">
        <v>17</v>
      </c>
      <c r="L71" t="s">
        <v>18</v>
      </c>
    </row>
    <row r="72" spans="1:12" x14ac:dyDescent="0.35">
      <c r="A72">
        <v>169</v>
      </c>
      <c r="B72" t="s">
        <v>11</v>
      </c>
      <c r="C72">
        <v>43</v>
      </c>
      <c r="D72" t="str">
        <f>IF(Customer_Analytics[[#This Row],[Age]]&lt;=30,"26-30",IF(Customer_Analytics[[#This Row],[Age]]&lt;=35,"31-35",IF(Customer_Analytics[[#This Row],[Age]]&lt;=40,"36-40","41-45")))</f>
        <v>41-45</v>
      </c>
      <c r="E72" t="s">
        <v>19</v>
      </c>
      <c r="F72" t="s">
        <v>20</v>
      </c>
      <c r="G72" s="2">
        <v>500.75</v>
      </c>
      <c r="H72">
        <v>10</v>
      </c>
      <c r="I72">
        <v>3.3</v>
      </c>
      <c r="J72" t="b">
        <v>1</v>
      </c>
      <c r="K72">
        <v>40</v>
      </c>
      <c r="L72" t="s">
        <v>21</v>
      </c>
    </row>
    <row r="73" spans="1:12" x14ac:dyDescent="0.35">
      <c r="A73">
        <v>170</v>
      </c>
      <c r="B73" t="s">
        <v>15</v>
      </c>
      <c r="C73">
        <v>30</v>
      </c>
      <c r="D73" t="str">
        <f>IF(Customer_Analytics[[#This Row],[Age]]&lt;=30,"26-30",IF(Customer_Analytics[[#This Row],[Age]]&lt;=35,"31-35",IF(Customer_Analytics[[#This Row],[Age]]&lt;=40,"36-40","41-45")))</f>
        <v>26-30</v>
      </c>
      <c r="E73" t="s">
        <v>22</v>
      </c>
      <c r="F73" t="s">
        <v>13</v>
      </c>
      <c r="G73" s="2">
        <v>1460.5</v>
      </c>
      <c r="H73">
        <v>20</v>
      </c>
      <c r="I73">
        <v>4.8</v>
      </c>
      <c r="J73" t="b">
        <v>0</v>
      </c>
      <c r="K73">
        <v>12</v>
      </c>
      <c r="L73" t="s">
        <v>14</v>
      </c>
    </row>
    <row r="74" spans="1:12" x14ac:dyDescent="0.35">
      <c r="A74">
        <v>171</v>
      </c>
      <c r="B74" t="s">
        <v>15</v>
      </c>
      <c r="C74">
        <v>27</v>
      </c>
      <c r="D74" t="str">
        <f>IF(Customer_Analytics[[#This Row],[Age]]&lt;=30,"26-30",IF(Customer_Analytics[[#This Row],[Age]]&lt;=35,"31-35",IF(Customer_Analytics[[#This Row],[Age]]&lt;=40,"36-40","41-45")))</f>
        <v>26-30</v>
      </c>
      <c r="E74" t="s">
        <v>23</v>
      </c>
      <c r="F74" t="s">
        <v>17</v>
      </c>
      <c r="G74" s="2">
        <v>700.4</v>
      </c>
      <c r="H74">
        <v>13</v>
      </c>
      <c r="I74">
        <v>4</v>
      </c>
      <c r="J74" t="b">
        <v>1</v>
      </c>
      <c r="K74">
        <v>53</v>
      </c>
      <c r="L74" t="s">
        <v>21</v>
      </c>
    </row>
    <row r="75" spans="1:12" x14ac:dyDescent="0.35">
      <c r="A75">
        <v>172</v>
      </c>
      <c r="B75" t="s">
        <v>11</v>
      </c>
      <c r="C75">
        <v>37</v>
      </c>
      <c r="D75" t="str">
        <f>IF(Customer_Analytics[[#This Row],[Age]]&lt;=30,"26-30",IF(Customer_Analytics[[#This Row],[Age]]&lt;=35,"31-35",IF(Customer_Analytics[[#This Row],[Age]]&lt;=40,"36-40","41-45")))</f>
        <v>36-40</v>
      </c>
      <c r="E75" t="s">
        <v>24</v>
      </c>
      <c r="F75" t="s">
        <v>20</v>
      </c>
      <c r="G75" s="2">
        <v>420.8</v>
      </c>
      <c r="H75">
        <v>7</v>
      </c>
      <c r="I75">
        <v>3.1</v>
      </c>
      <c r="J75" t="b">
        <v>0</v>
      </c>
      <c r="K75">
        <v>21</v>
      </c>
    </row>
    <row r="76" spans="1:12" x14ac:dyDescent="0.35">
      <c r="A76">
        <v>173</v>
      </c>
      <c r="B76" t="s">
        <v>11</v>
      </c>
      <c r="C76">
        <v>31</v>
      </c>
      <c r="D76" t="str">
        <f>IF(Customer_Analytics[[#This Row],[Age]]&lt;=30,"26-30",IF(Customer_Analytics[[#This Row],[Age]]&lt;=35,"31-35",IF(Customer_Analytics[[#This Row],[Age]]&lt;=40,"36-40","41-45")))</f>
        <v>31-35</v>
      </c>
      <c r="E76" t="s">
        <v>12</v>
      </c>
      <c r="F76" t="s">
        <v>13</v>
      </c>
      <c r="G76" s="2">
        <v>1130.5999999999999</v>
      </c>
      <c r="H76">
        <v>15</v>
      </c>
      <c r="I76">
        <v>4.5</v>
      </c>
      <c r="J76" t="b">
        <v>1</v>
      </c>
      <c r="K76">
        <v>26</v>
      </c>
      <c r="L76" t="s">
        <v>14</v>
      </c>
    </row>
    <row r="77" spans="1:12" x14ac:dyDescent="0.35">
      <c r="A77">
        <v>174</v>
      </c>
      <c r="B77" t="s">
        <v>15</v>
      </c>
      <c r="C77">
        <v>35</v>
      </c>
      <c r="D77" t="str">
        <f>IF(Customer_Analytics[[#This Row],[Age]]&lt;=30,"26-30",IF(Customer_Analytics[[#This Row],[Age]]&lt;=35,"31-35",IF(Customer_Analytics[[#This Row],[Age]]&lt;=40,"36-40","41-45")))</f>
        <v>31-35</v>
      </c>
      <c r="E77" t="s">
        <v>16</v>
      </c>
      <c r="F77" t="s">
        <v>17</v>
      </c>
      <c r="G77" s="2">
        <v>820.9</v>
      </c>
      <c r="H77">
        <v>12</v>
      </c>
      <c r="I77">
        <v>4.3</v>
      </c>
      <c r="J77" t="b">
        <v>0</v>
      </c>
      <c r="K77">
        <v>12</v>
      </c>
      <c r="L77" t="s">
        <v>18</v>
      </c>
    </row>
    <row r="78" spans="1:12" x14ac:dyDescent="0.35">
      <c r="A78">
        <v>175</v>
      </c>
      <c r="B78" t="s">
        <v>11</v>
      </c>
      <c r="C78">
        <v>41</v>
      </c>
      <c r="D78" t="str">
        <f>IF(Customer_Analytics[[#This Row],[Age]]&lt;=30,"26-30",IF(Customer_Analytics[[#This Row],[Age]]&lt;=35,"31-35",IF(Customer_Analytics[[#This Row],[Age]]&lt;=40,"36-40","41-45")))</f>
        <v>41-45</v>
      </c>
      <c r="E78" t="s">
        <v>19</v>
      </c>
      <c r="F78" t="s">
        <v>20</v>
      </c>
      <c r="G78" s="2">
        <v>480.25</v>
      </c>
      <c r="H78">
        <v>9</v>
      </c>
      <c r="I78">
        <v>3.6</v>
      </c>
      <c r="J78" t="b">
        <v>1</v>
      </c>
      <c r="K78">
        <v>38</v>
      </c>
      <c r="L78" t="s">
        <v>21</v>
      </c>
    </row>
    <row r="79" spans="1:12" x14ac:dyDescent="0.35">
      <c r="A79">
        <v>176</v>
      </c>
      <c r="B79" t="s">
        <v>15</v>
      </c>
      <c r="C79">
        <v>28</v>
      </c>
      <c r="D79" t="str">
        <f>IF(Customer_Analytics[[#This Row],[Age]]&lt;=30,"26-30",IF(Customer_Analytics[[#This Row],[Age]]&lt;=35,"31-35",IF(Customer_Analytics[[#This Row],[Age]]&lt;=40,"36-40","41-45")))</f>
        <v>26-30</v>
      </c>
      <c r="E79" t="s">
        <v>22</v>
      </c>
      <c r="F79" t="s">
        <v>13</v>
      </c>
      <c r="G79" s="2">
        <v>1490.1</v>
      </c>
      <c r="H79">
        <v>21</v>
      </c>
      <c r="I79">
        <v>4.9000000000000004</v>
      </c>
      <c r="J79" t="b">
        <v>0</v>
      </c>
      <c r="K79">
        <v>9</v>
      </c>
      <c r="L79" t="s">
        <v>14</v>
      </c>
    </row>
    <row r="80" spans="1:12" x14ac:dyDescent="0.35">
      <c r="A80">
        <v>177</v>
      </c>
      <c r="B80" t="s">
        <v>15</v>
      </c>
      <c r="C80">
        <v>32</v>
      </c>
      <c r="D80" t="str">
        <f>IF(Customer_Analytics[[#This Row],[Age]]&lt;=30,"26-30",IF(Customer_Analytics[[#This Row],[Age]]&lt;=35,"31-35",IF(Customer_Analytics[[#This Row],[Age]]&lt;=40,"36-40","41-45")))</f>
        <v>31-35</v>
      </c>
      <c r="E80" t="s">
        <v>23</v>
      </c>
      <c r="F80" t="s">
        <v>17</v>
      </c>
      <c r="G80" s="2">
        <v>680.3</v>
      </c>
      <c r="H80">
        <v>10</v>
      </c>
      <c r="I80">
        <v>3.8</v>
      </c>
      <c r="J80" t="b">
        <v>1</v>
      </c>
      <c r="K80">
        <v>32</v>
      </c>
      <c r="L80" t="s">
        <v>21</v>
      </c>
    </row>
    <row r="81" spans="1:12" x14ac:dyDescent="0.35">
      <c r="A81">
        <v>178</v>
      </c>
      <c r="B81" t="s">
        <v>11</v>
      </c>
      <c r="C81">
        <v>36</v>
      </c>
      <c r="D81" t="str">
        <f>IF(Customer_Analytics[[#This Row],[Age]]&lt;=30,"26-30",IF(Customer_Analytics[[#This Row],[Age]]&lt;=35,"31-35",IF(Customer_Analytics[[#This Row],[Age]]&lt;=40,"36-40","41-45")))</f>
        <v>36-40</v>
      </c>
      <c r="E81" t="s">
        <v>24</v>
      </c>
      <c r="F81" t="s">
        <v>20</v>
      </c>
      <c r="G81" s="2">
        <v>470.5</v>
      </c>
      <c r="H81">
        <v>8</v>
      </c>
      <c r="I81">
        <v>3</v>
      </c>
      <c r="J81" t="b">
        <v>0</v>
      </c>
      <c r="K81">
        <v>18</v>
      </c>
      <c r="L81" t="s">
        <v>18</v>
      </c>
    </row>
    <row r="82" spans="1:12" x14ac:dyDescent="0.35">
      <c r="A82">
        <v>179</v>
      </c>
      <c r="B82" t="s">
        <v>11</v>
      </c>
      <c r="C82">
        <v>30</v>
      </c>
      <c r="D82" t="str">
        <f>IF(Customer_Analytics[[#This Row],[Age]]&lt;=30,"26-30",IF(Customer_Analytics[[#This Row],[Age]]&lt;=35,"31-35",IF(Customer_Analytics[[#This Row],[Age]]&lt;=40,"36-40","41-45")))</f>
        <v>26-30</v>
      </c>
      <c r="E82" t="s">
        <v>12</v>
      </c>
      <c r="F82" t="s">
        <v>13</v>
      </c>
      <c r="G82" s="2">
        <v>1180.8</v>
      </c>
      <c r="H82">
        <v>16</v>
      </c>
      <c r="I82">
        <v>4.7</v>
      </c>
      <c r="J82" t="b">
        <v>1</v>
      </c>
      <c r="K82">
        <v>19</v>
      </c>
      <c r="L82" t="s">
        <v>14</v>
      </c>
    </row>
    <row r="83" spans="1:12" x14ac:dyDescent="0.35">
      <c r="A83">
        <v>180</v>
      </c>
      <c r="B83" t="s">
        <v>15</v>
      </c>
      <c r="C83">
        <v>34</v>
      </c>
      <c r="D83" t="str">
        <f>IF(Customer_Analytics[[#This Row],[Age]]&lt;=30,"26-30",IF(Customer_Analytics[[#This Row],[Age]]&lt;=35,"31-35",IF(Customer_Analytics[[#This Row],[Age]]&lt;=40,"36-40","41-45")))</f>
        <v>31-35</v>
      </c>
      <c r="E83" t="s">
        <v>16</v>
      </c>
      <c r="F83" t="s">
        <v>17</v>
      </c>
      <c r="G83" s="2">
        <v>790.2</v>
      </c>
      <c r="H83">
        <v>11</v>
      </c>
      <c r="I83">
        <v>4</v>
      </c>
      <c r="J83" t="b">
        <v>0</v>
      </c>
      <c r="K83">
        <v>15</v>
      </c>
      <c r="L83" t="s">
        <v>18</v>
      </c>
    </row>
    <row r="84" spans="1:12" x14ac:dyDescent="0.35">
      <c r="A84">
        <v>181</v>
      </c>
      <c r="B84" t="s">
        <v>11</v>
      </c>
      <c r="C84">
        <v>43</v>
      </c>
      <c r="D84" t="str">
        <f>IF(Customer_Analytics[[#This Row],[Age]]&lt;=30,"26-30",IF(Customer_Analytics[[#This Row],[Age]]&lt;=35,"31-35",IF(Customer_Analytics[[#This Row],[Age]]&lt;=40,"36-40","41-45")))</f>
        <v>41-45</v>
      </c>
      <c r="E84" t="s">
        <v>19</v>
      </c>
      <c r="F84" t="s">
        <v>20</v>
      </c>
      <c r="G84" s="2">
        <v>505.75</v>
      </c>
      <c r="H84">
        <v>10</v>
      </c>
      <c r="I84">
        <v>3.3</v>
      </c>
      <c r="J84" t="b">
        <v>1</v>
      </c>
      <c r="K84">
        <v>39</v>
      </c>
      <c r="L84" t="s">
        <v>21</v>
      </c>
    </row>
    <row r="85" spans="1:12" x14ac:dyDescent="0.35">
      <c r="A85">
        <v>182</v>
      </c>
      <c r="B85" t="s">
        <v>15</v>
      </c>
      <c r="C85">
        <v>30</v>
      </c>
      <c r="D85" t="str">
        <f>IF(Customer_Analytics[[#This Row],[Age]]&lt;=30,"26-30",IF(Customer_Analytics[[#This Row],[Age]]&lt;=35,"31-35",IF(Customer_Analytics[[#This Row],[Age]]&lt;=40,"36-40","41-45")))</f>
        <v>26-30</v>
      </c>
      <c r="E85" t="s">
        <v>22</v>
      </c>
      <c r="F85" t="s">
        <v>13</v>
      </c>
      <c r="G85" s="2">
        <v>1470.5</v>
      </c>
      <c r="H85">
        <v>20</v>
      </c>
      <c r="I85">
        <v>4.8</v>
      </c>
      <c r="J85" t="b">
        <v>0</v>
      </c>
      <c r="K85">
        <v>13</v>
      </c>
      <c r="L85" t="s">
        <v>14</v>
      </c>
    </row>
    <row r="86" spans="1:12" x14ac:dyDescent="0.35">
      <c r="A86">
        <v>183</v>
      </c>
      <c r="B86" t="s">
        <v>15</v>
      </c>
      <c r="C86">
        <v>27</v>
      </c>
      <c r="D86" t="str">
        <f>IF(Customer_Analytics[[#This Row],[Age]]&lt;=30,"26-30",IF(Customer_Analytics[[#This Row],[Age]]&lt;=35,"31-35",IF(Customer_Analytics[[#This Row],[Age]]&lt;=40,"36-40","41-45")))</f>
        <v>26-30</v>
      </c>
      <c r="E86" t="s">
        <v>23</v>
      </c>
      <c r="F86" t="s">
        <v>17</v>
      </c>
      <c r="G86" s="2">
        <v>710.4</v>
      </c>
      <c r="H86">
        <v>13</v>
      </c>
      <c r="I86">
        <v>4.0999999999999996</v>
      </c>
      <c r="J86" t="b">
        <v>1</v>
      </c>
      <c r="K86">
        <v>54</v>
      </c>
      <c r="L86" t="s">
        <v>21</v>
      </c>
    </row>
    <row r="87" spans="1:12" x14ac:dyDescent="0.35">
      <c r="A87">
        <v>184</v>
      </c>
      <c r="B87" t="s">
        <v>11</v>
      </c>
      <c r="C87">
        <v>37</v>
      </c>
      <c r="D87" t="str">
        <f>IF(Customer_Analytics[[#This Row],[Age]]&lt;=30,"26-30",IF(Customer_Analytics[[#This Row],[Age]]&lt;=35,"31-35",IF(Customer_Analytics[[#This Row],[Age]]&lt;=40,"36-40","41-45")))</f>
        <v>36-40</v>
      </c>
      <c r="E87" t="s">
        <v>24</v>
      </c>
      <c r="F87" t="s">
        <v>20</v>
      </c>
      <c r="G87" s="2">
        <v>430.8</v>
      </c>
      <c r="H87">
        <v>7</v>
      </c>
      <c r="I87">
        <v>3.4</v>
      </c>
      <c r="J87" t="b">
        <v>0</v>
      </c>
      <c r="K87">
        <v>23</v>
      </c>
      <c r="L87" t="s">
        <v>18</v>
      </c>
    </row>
    <row r="88" spans="1:12" x14ac:dyDescent="0.35">
      <c r="A88">
        <v>185</v>
      </c>
      <c r="B88" t="s">
        <v>11</v>
      </c>
      <c r="C88">
        <v>31</v>
      </c>
      <c r="D88" t="str">
        <f>IF(Customer_Analytics[[#This Row],[Age]]&lt;=30,"26-30",IF(Customer_Analytics[[#This Row],[Age]]&lt;=35,"31-35",IF(Customer_Analytics[[#This Row],[Age]]&lt;=40,"36-40","41-45")))</f>
        <v>31-35</v>
      </c>
      <c r="E88" t="s">
        <v>12</v>
      </c>
      <c r="F88" t="s">
        <v>13</v>
      </c>
      <c r="G88" s="2">
        <v>1140.5999999999999</v>
      </c>
      <c r="H88">
        <v>15</v>
      </c>
      <c r="I88">
        <v>4.5999999999999996</v>
      </c>
      <c r="J88" t="b">
        <v>1</v>
      </c>
      <c r="K88">
        <v>27</v>
      </c>
      <c r="L88" t="s">
        <v>14</v>
      </c>
    </row>
    <row r="89" spans="1:12" x14ac:dyDescent="0.35">
      <c r="A89">
        <v>186</v>
      </c>
      <c r="B89" t="s">
        <v>15</v>
      </c>
      <c r="C89">
        <v>35</v>
      </c>
      <c r="D89" t="str">
        <f>IF(Customer_Analytics[[#This Row],[Age]]&lt;=30,"26-30",IF(Customer_Analytics[[#This Row],[Age]]&lt;=35,"31-35",IF(Customer_Analytics[[#This Row],[Age]]&lt;=40,"36-40","41-45")))</f>
        <v>31-35</v>
      </c>
      <c r="E89" t="s">
        <v>16</v>
      </c>
      <c r="F89" t="s">
        <v>17</v>
      </c>
      <c r="G89" s="2">
        <v>810.9</v>
      </c>
      <c r="H89">
        <v>12</v>
      </c>
      <c r="I89">
        <v>4.3</v>
      </c>
      <c r="J89" t="b">
        <v>0</v>
      </c>
      <c r="K89">
        <v>13</v>
      </c>
      <c r="L89" t="s">
        <v>18</v>
      </c>
    </row>
    <row r="90" spans="1:12" x14ac:dyDescent="0.35">
      <c r="A90">
        <v>187</v>
      </c>
      <c r="B90" t="s">
        <v>11</v>
      </c>
      <c r="C90">
        <v>41</v>
      </c>
      <c r="D90" t="str">
        <f>IF(Customer_Analytics[[#This Row],[Age]]&lt;=30,"26-30",IF(Customer_Analytics[[#This Row],[Age]]&lt;=35,"31-35",IF(Customer_Analytics[[#This Row],[Age]]&lt;=40,"36-40","41-45")))</f>
        <v>41-45</v>
      </c>
      <c r="E90" t="s">
        <v>19</v>
      </c>
      <c r="F90" t="s">
        <v>20</v>
      </c>
      <c r="G90" s="2">
        <v>485.25</v>
      </c>
      <c r="H90">
        <v>9</v>
      </c>
      <c r="I90">
        <v>3.6</v>
      </c>
      <c r="J90" t="b">
        <v>1</v>
      </c>
      <c r="K90">
        <v>39</v>
      </c>
      <c r="L90" t="s">
        <v>21</v>
      </c>
    </row>
    <row r="91" spans="1:12" x14ac:dyDescent="0.35">
      <c r="A91">
        <v>188</v>
      </c>
      <c r="B91" t="s">
        <v>15</v>
      </c>
      <c r="C91">
        <v>28</v>
      </c>
      <c r="D91" t="str">
        <f>IF(Customer_Analytics[[#This Row],[Age]]&lt;=30,"26-30",IF(Customer_Analytics[[#This Row],[Age]]&lt;=35,"31-35",IF(Customer_Analytics[[#This Row],[Age]]&lt;=40,"36-40","41-45")))</f>
        <v>26-30</v>
      </c>
      <c r="E91" t="s">
        <v>22</v>
      </c>
      <c r="F91" t="s">
        <v>13</v>
      </c>
      <c r="G91" s="2">
        <v>1500.1</v>
      </c>
      <c r="H91">
        <v>21</v>
      </c>
      <c r="I91">
        <v>4.9000000000000004</v>
      </c>
      <c r="J91" t="b">
        <v>0</v>
      </c>
      <c r="K91">
        <v>10</v>
      </c>
      <c r="L91" t="s">
        <v>14</v>
      </c>
    </row>
    <row r="92" spans="1:12" x14ac:dyDescent="0.35">
      <c r="A92">
        <v>189</v>
      </c>
      <c r="B92" t="s">
        <v>15</v>
      </c>
      <c r="C92">
        <v>32</v>
      </c>
      <c r="D92" t="str">
        <f>IF(Customer_Analytics[[#This Row],[Age]]&lt;=30,"26-30",IF(Customer_Analytics[[#This Row],[Age]]&lt;=35,"31-35",IF(Customer_Analytics[[#This Row],[Age]]&lt;=40,"36-40","41-45")))</f>
        <v>31-35</v>
      </c>
      <c r="E92" t="s">
        <v>23</v>
      </c>
      <c r="F92" t="s">
        <v>17</v>
      </c>
      <c r="G92" s="2">
        <v>670.3</v>
      </c>
      <c r="H92">
        <v>10</v>
      </c>
      <c r="I92">
        <v>3.8</v>
      </c>
      <c r="J92" t="b">
        <v>1</v>
      </c>
      <c r="K92">
        <v>33</v>
      </c>
      <c r="L92" t="s">
        <v>21</v>
      </c>
    </row>
    <row r="93" spans="1:12" x14ac:dyDescent="0.35">
      <c r="A93">
        <v>190</v>
      </c>
      <c r="B93" t="s">
        <v>11</v>
      </c>
      <c r="C93">
        <v>36</v>
      </c>
      <c r="D93" t="str">
        <f>IF(Customer_Analytics[[#This Row],[Age]]&lt;=30,"26-30",IF(Customer_Analytics[[#This Row],[Age]]&lt;=35,"31-35",IF(Customer_Analytics[[#This Row],[Age]]&lt;=40,"36-40","41-45")))</f>
        <v>36-40</v>
      </c>
      <c r="E93" t="s">
        <v>24</v>
      </c>
      <c r="F93" t="s">
        <v>20</v>
      </c>
      <c r="G93" s="2">
        <v>460.5</v>
      </c>
      <c r="H93">
        <v>8</v>
      </c>
      <c r="I93">
        <v>3.1</v>
      </c>
      <c r="J93" t="b">
        <v>0</v>
      </c>
      <c r="K93">
        <v>19</v>
      </c>
      <c r="L93" t="s">
        <v>18</v>
      </c>
    </row>
    <row r="94" spans="1:12" x14ac:dyDescent="0.35">
      <c r="A94">
        <v>191</v>
      </c>
      <c r="B94" t="s">
        <v>11</v>
      </c>
      <c r="C94">
        <v>30</v>
      </c>
      <c r="D94" t="str">
        <f>IF(Customer_Analytics[[#This Row],[Age]]&lt;=30,"26-30",IF(Customer_Analytics[[#This Row],[Age]]&lt;=35,"31-35",IF(Customer_Analytics[[#This Row],[Age]]&lt;=40,"36-40","41-45")))</f>
        <v>26-30</v>
      </c>
      <c r="E94" t="s">
        <v>12</v>
      </c>
      <c r="F94" t="s">
        <v>13</v>
      </c>
      <c r="G94" s="2">
        <v>1190.8</v>
      </c>
      <c r="H94">
        <v>16</v>
      </c>
      <c r="I94">
        <v>4.5</v>
      </c>
      <c r="J94" t="b">
        <v>1</v>
      </c>
      <c r="K94">
        <v>20</v>
      </c>
      <c r="L94" t="s">
        <v>14</v>
      </c>
    </row>
    <row r="95" spans="1:12" x14ac:dyDescent="0.35">
      <c r="A95">
        <v>192</v>
      </c>
      <c r="B95" t="s">
        <v>15</v>
      </c>
      <c r="C95">
        <v>33</v>
      </c>
      <c r="D95" t="str">
        <f>IF(Customer_Analytics[[#This Row],[Age]]&lt;=30,"26-30",IF(Customer_Analytics[[#This Row],[Age]]&lt;=35,"31-35",IF(Customer_Analytics[[#This Row],[Age]]&lt;=40,"36-40","41-45")))</f>
        <v>31-35</v>
      </c>
      <c r="E95" t="s">
        <v>16</v>
      </c>
      <c r="F95" t="s">
        <v>17</v>
      </c>
      <c r="G95" s="2">
        <v>830.75</v>
      </c>
      <c r="H95">
        <v>13</v>
      </c>
      <c r="I95">
        <v>4.2</v>
      </c>
      <c r="J95" t="b">
        <v>0</v>
      </c>
      <c r="K95">
        <v>14</v>
      </c>
      <c r="L95" t="s">
        <v>14</v>
      </c>
    </row>
    <row r="96" spans="1:12" x14ac:dyDescent="0.35">
      <c r="A96">
        <v>193</v>
      </c>
      <c r="B96" t="s">
        <v>11</v>
      </c>
      <c r="C96">
        <v>42</v>
      </c>
      <c r="D96" t="str">
        <f>IF(Customer_Analytics[[#This Row],[Age]]&lt;=30,"26-30",IF(Customer_Analytics[[#This Row],[Age]]&lt;=35,"31-35",IF(Customer_Analytics[[#This Row],[Age]]&lt;=40,"36-40","41-45")))</f>
        <v>41-45</v>
      </c>
      <c r="E96" t="s">
        <v>19</v>
      </c>
      <c r="F96" t="s">
        <v>20</v>
      </c>
      <c r="G96" s="2">
        <v>520.4</v>
      </c>
      <c r="H96">
        <v>9</v>
      </c>
      <c r="I96">
        <v>3.5</v>
      </c>
      <c r="J96" t="b">
        <v>1</v>
      </c>
      <c r="K96">
        <v>37</v>
      </c>
      <c r="L96" t="s">
        <v>21</v>
      </c>
    </row>
    <row r="97" spans="1:12" x14ac:dyDescent="0.35">
      <c r="A97">
        <v>194</v>
      </c>
      <c r="B97" t="s">
        <v>15</v>
      </c>
      <c r="C97">
        <v>29</v>
      </c>
      <c r="D97" t="str">
        <f>IF(Customer_Analytics[[#This Row],[Age]]&lt;=30,"26-30",IF(Customer_Analytics[[#This Row],[Age]]&lt;=35,"31-35",IF(Customer_Analytics[[#This Row],[Age]]&lt;=40,"36-40","41-45")))</f>
        <v>26-30</v>
      </c>
      <c r="E97" t="s">
        <v>22</v>
      </c>
      <c r="F97" t="s">
        <v>13</v>
      </c>
      <c r="G97" s="2">
        <v>1370.2</v>
      </c>
      <c r="H97">
        <v>18</v>
      </c>
      <c r="I97">
        <v>4.7</v>
      </c>
      <c r="J97" t="b">
        <v>0</v>
      </c>
      <c r="K97">
        <v>10</v>
      </c>
      <c r="L97" t="s">
        <v>14</v>
      </c>
    </row>
    <row r="98" spans="1:12" x14ac:dyDescent="0.35">
      <c r="A98">
        <v>195</v>
      </c>
      <c r="B98" t="s">
        <v>15</v>
      </c>
      <c r="C98">
        <v>26</v>
      </c>
      <c r="D98" t="str">
        <f>IF(Customer_Analytics[[#This Row],[Age]]&lt;=30,"26-30",IF(Customer_Analytics[[#This Row],[Age]]&lt;=35,"31-35",IF(Customer_Analytics[[#This Row],[Age]]&lt;=40,"36-40","41-45")))</f>
        <v>26-30</v>
      </c>
      <c r="E98" t="s">
        <v>23</v>
      </c>
      <c r="F98" t="s">
        <v>17</v>
      </c>
      <c r="G98" s="2">
        <v>690.6</v>
      </c>
      <c r="H98">
        <v>12</v>
      </c>
      <c r="I98">
        <v>3.9</v>
      </c>
      <c r="J98" t="b">
        <v>1</v>
      </c>
      <c r="K98">
        <v>47</v>
      </c>
      <c r="L98" t="s">
        <v>21</v>
      </c>
    </row>
    <row r="99" spans="1:12" x14ac:dyDescent="0.35">
      <c r="A99">
        <v>196</v>
      </c>
      <c r="B99" t="s">
        <v>11</v>
      </c>
      <c r="C99">
        <v>38</v>
      </c>
      <c r="D99" t="str">
        <f>IF(Customer_Analytics[[#This Row],[Age]]&lt;=30,"26-30",IF(Customer_Analytics[[#This Row],[Age]]&lt;=35,"31-35",IF(Customer_Analytics[[#This Row],[Age]]&lt;=40,"36-40","41-45")))</f>
        <v>36-40</v>
      </c>
      <c r="E99" t="s">
        <v>24</v>
      </c>
      <c r="F99" t="s">
        <v>20</v>
      </c>
      <c r="G99" s="2">
        <v>440.9</v>
      </c>
      <c r="H99">
        <v>8</v>
      </c>
      <c r="I99">
        <v>3.2</v>
      </c>
      <c r="J99" t="b">
        <v>0</v>
      </c>
      <c r="K99">
        <v>24</v>
      </c>
      <c r="L99" t="s">
        <v>18</v>
      </c>
    </row>
    <row r="100" spans="1:12" x14ac:dyDescent="0.35">
      <c r="A100">
        <v>197</v>
      </c>
      <c r="B100" t="s">
        <v>11</v>
      </c>
      <c r="C100">
        <v>32</v>
      </c>
      <c r="D100" t="str">
        <f>IF(Customer_Analytics[[#This Row],[Age]]&lt;=30,"26-30",IF(Customer_Analytics[[#This Row],[Age]]&lt;=35,"31-35",IF(Customer_Analytics[[#This Row],[Age]]&lt;=40,"36-40","41-45")))</f>
        <v>31-35</v>
      </c>
      <c r="E100" t="s">
        <v>12</v>
      </c>
      <c r="F100" t="s">
        <v>13</v>
      </c>
      <c r="G100" s="2">
        <v>1160.3</v>
      </c>
      <c r="H100">
        <v>14</v>
      </c>
      <c r="I100">
        <v>4.4000000000000004</v>
      </c>
      <c r="J100" t="b">
        <v>1</v>
      </c>
      <c r="K100">
        <v>22</v>
      </c>
      <c r="L100" t="s">
        <v>14</v>
      </c>
    </row>
    <row r="101" spans="1:12" x14ac:dyDescent="0.35">
      <c r="A101">
        <v>198</v>
      </c>
      <c r="B101" t="s">
        <v>15</v>
      </c>
      <c r="C101">
        <v>34</v>
      </c>
      <c r="D101" t="str">
        <f>IF(Customer_Analytics[[#This Row],[Age]]&lt;=30,"26-30",IF(Customer_Analytics[[#This Row],[Age]]&lt;=35,"31-35",IF(Customer_Analytics[[#This Row],[Age]]&lt;=40,"36-40","41-45")))</f>
        <v>31-35</v>
      </c>
      <c r="E101" t="s">
        <v>16</v>
      </c>
      <c r="F101" t="s">
        <v>17</v>
      </c>
      <c r="G101" s="2">
        <v>800.2</v>
      </c>
      <c r="H101">
        <v>11</v>
      </c>
      <c r="I101">
        <v>4.0999999999999996</v>
      </c>
      <c r="J101" t="b">
        <v>0</v>
      </c>
      <c r="K101">
        <v>17</v>
      </c>
      <c r="L101" t="s">
        <v>18</v>
      </c>
    </row>
    <row r="102" spans="1:12" x14ac:dyDescent="0.35">
      <c r="A102">
        <v>199</v>
      </c>
      <c r="B102" t="s">
        <v>11</v>
      </c>
      <c r="C102">
        <v>43</v>
      </c>
      <c r="D102" t="str">
        <f>IF(Customer_Analytics[[#This Row],[Age]]&lt;=30,"26-30",IF(Customer_Analytics[[#This Row],[Age]]&lt;=35,"31-35",IF(Customer_Analytics[[#This Row],[Age]]&lt;=40,"36-40","41-45")))</f>
        <v>41-45</v>
      </c>
      <c r="E102" t="s">
        <v>19</v>
      </c>
      <c r="F102" t="s">
        <v>20</v>
      </c>
      <c r="G102" s="2">
        <v>500.75</v>
      </c>
      <c r="H102">
        <v>10</v>
      </c>
      <c r="I102">
        <v>3.3</v>
      </c>
      <c r="J102" t="b">
        <v>1</v>
      </c>
      <c r="K102">
        <v>40</v>
      </c>
      <c r="L102" t="s">
        <v>21</v>
      </c>
    </row>
    <row r="103" spans="1:12" x14ac:dyDescent="0.35">
      <c r="A103">
        <v>200</v>
      </c>
      <c r="B103" t="s">
        <v>15</v>
      </c>
      <c r="C103">
        <v>30</v>
      </c>
      <c r="D103" t="str">
        <f>IF(Customer_Analytics[[#This Row],[Age]]&lt;=30,"26-30",IF(Customer_Analytics[[#This Row],[Age]]&lt;=35,"31-35",IF(Customer_Analytics[[#This Row],[Age]]&lt;=40,"36-40","41-45")))</f>
        <v>26-30</v>
      </c>
      <c r="E103" t="s">
        <v>22</v>
      </c>
      <c r="F103" t="s">
        <v>13</v>
      </c>
      <c r="G103" s="2">
        <v>1460.5</v>
      </c>
      <c r="H103">
        <v>20</v>
      </c>
      <c r="I103">
        <v>4.8</v>
      </c>
      <c r="J103" t="b">
        <v>0</v>
      </c>
      <c r="K103">
        <v>12</v>
      </c>
      <c r="L103" t="s">
        <v>14</v>
      </c>
    </row>
    <row r="104" spans="1:12" x14ac:dyDescent="0.35">
      <c r="A104">
        <v>201</v>
      </c>
      <c r="B104" t="s">
        <v>15</v>
      </c>
      <c r="C104">
        <v>27</v>
      </c>
      <c r="D104" t="str">
        <f>IF(Customer_Analytics[[#This Row],[Age]]&lt;=30,"26-30",IF(Customer_Analytics[[#This Row],[Age]]&lt;=35,"31-35",IF(Customer_Analytics[[#This Row],[Age]]&lt;=40,"36-40","41-45")))</f>
        <v>26-30</v>
      </c>
      <c r="E104" t="s">
        <v>23</v>
      </c>
      <c r="F104" t="s">
        <v>17</v>
      </c>
      <c r="G104" s="2">
        <v>700.4</v>
      </c>
      <c r="H104">
        <v>13</v>
      </c>
      <c r="I104">
        <v>4</v>
      </c>
      <c r="J104" t="b">
        <v>1</v>
      </c>
      <c r="K104">
        <v>53</v>
      </c>
      <c r="L104" t="s">
        <v>21</v>
      </c>
    </row>
    <row r="105" spans="1:12" x14ac:dyDescent="0.35">
      <c r="A105">
        <v>202</v>
      </c>
      <c r="B105" t="s">
        <v>11</v>
      </c>
      <c r="C105">
        <v>37</v>
      </c>
      <c r="D105" t="str">
        <f>IF(Customer_Analytics[[#This Row],[Age]]&lt;=30,"26-30",IF(Customer_Analytics[[#This Row],[Age]]&lt;=35,"31-35",IF(Customer_Analytics[[#This Row],[Age]]&lt;=40,"36-40","41-45")))</f>
        <v>36-40</v>
      </c>
      <c r="E105" t="s">
        <v>24</v>
      </c>
      <c r="F105" t="s">
        <v>20</v>
      </c>
      <c r="G105" s="2">
        <v>420.8</v>
      </c>
      <c r="H105">
        <v>7</v>
      </c>
      <c r="I105">
        <v>3.1</v>
      </c>
      <c r="J105" t="b">
        <v>0</v>
      </c>
      <c r="K105">
        <v>21</v>
      </c>
      <c r="L105" t="s">
        <v>18</v>
      </c>
    </row>
    <row r="106" spans="1:12" x14ac:dyDescent="0.35">
      <c r="A106">
        <v>203</v>
      </c>
      <c r="B106" t="s">
        <v>11</v>
      </c>
      <c r="C106">
        <v>31</v>
      </c>
      <c r="D106" t="str">
        <f>IF(Customer_Analytics[[#This Row],[Age]]&lt;=30,"26-30",IF(Customer_Analytics[[#This Row],[Age]]&lt;=35,"31-35",IF(Customer_Analytics[[#This Row],[Age]]&lt;=40,"36-40","41-45")))</f>
        <v>31-35</v>
      </c>
      <c r="E106" t="s">
        <v>12</v>
      </c>
      <c r="F106" t="s">
        <v>13</v>
      </c>
      <c r="G106" s="2">
        <v>1130.5999999999999</v>
      </c>
      <c r="H106">
        <v>15</v>
      </c>
      <c r="I106">
        <v>4.5</v>
      </c>
      <c r="J106" t="b">
        <v>1</v>
      </c>
      <c r="K106">
        <v>26</v>
      </c>
      <c r="L106" t="s">
        <v>14</v>
      </c>
    </row>
    <row r="107" spans="1:12" x14ac:dyDescent="0.35">
      <c r="A107">
        <v>204</v>
      </c>
      <c r="B107" t="s">
        <v>15</v>
      </c>
      <c r="C107">
        <v>35</v>
      </c>
      <c r="D107" t="str">
        <f>IF(Customer_Analytics[[#This Row],[Age]]&lt;=30,"26-30",IF(Customer_Analytics[[#This Row],[Age]]&lt;=35,"31-35",IF(Customer_Analytics[[#This Row],[Age]]&lt;=40,"36-40","41-45")))</f>
        <v>31-35</v>
      </c>
      <c r="E107" t="s">
        <v>16</v>
      </c>
      <c r="F107" t="s">
        <v>17</v>
      </c>
      <c r="G107" s="2">
        <v>820.9</v>
      </c>
      <c r="H107">
        <v>12</v>
      </c>
      <c r="I107">
        <v>4.3</v>
      </c>
      <c r="J107" t="b">
        <v>0</v>
      </c>
      <c r="K107">
        <v>12</v>
      </c>
      <c r="L107" t="s">
        <v>18</v>
      </c>
    </row>
    <row r="108" spans="1:12" x14ac:dyDescent="0.35">
      <c r="A108">
        <v>205</v>
      </c>
      <c r="B108" t="s">
        <v>11</v>
      </c>
      <c r="C108">
        <v>41</v>
      </c>
      <c r="D108" t="str">
        <f>IF(Customer_Analytics[[#This Row],[Age]]&lt;=30,"26-30",IF(Customer_Analytics[[#This Row],[Age]]&lt;=35,"31-35",IF(Customer_Analytics[[#This Row],[Age]]&lt;=40,"36-40","41-45")))</f>
        <v>41-45</v>
      </c>
      <c r="E108" t="s">
        <v>19</v>
      </c>
      <c r="F108" t="s">
        <v>20</v>
      </c>
      <c r="G108" s="2">
        <v>480.25</v>
      </c>
      <c r="H108">
        <v>9</v>
      </c>
      <c r="I108">
        <v>3.6</v>
      </c>
      <c r="J108" t="b">
        <v>1</v>
      </c>
      <c r="K108">
        <v>38</v>
      </c>
      <c r="L108" t="s">
        <v>21</v>
      </c>
    </row>
    <row r="109" spans="1:12" x14ac:dyDescent="0.35">
      <c r="A109">
        <v>206</v>
      </c>
      <c r="B109" t="s">
        <v>15</v>
      </c>
      <c r="C109">
        <v>28</v>
      </c>
      <c r="D109" t="str">
        <f>IF(Customer_Analytics[[#This Row],[Age]]&lt;=30,"26-30",IF(Customer_Analytics[[#This Row],[Age]]&lt;=35,"31-35",IF(Customer_Analytics[[#This Row],[Age]]&lt;=40,"36-40","41-45")))</f>
        <v>26-30</v>
      </c>
      <c r="E109" t="s">
        <v>22</v>
      </c>
      <c r="F109" t="s">
        <v>13</v>
      </c>
      <c r="G109" s="2">
        <v>1490.1</v>
      </c>
      <c r="H109">
        <v>21</v>
      </c>
      <c r="I109">
        <v>4.9000000000000004</v>
      </c>
      <c r="J109" t="b">
        <v>0</v>
      </c>
      <c r="K109">
        <v>9</v>
      </c>
      <c r="L109" t="s">
        <v>14</v>
      </c>
    </row>
    <row r="110" spans="1:12" x14ac:dyDescent="0.35">
      <c r="A110">
        <v>207</v>
      </c>
      <c r="B110" t="s">
        <v>15</v>
      </c>
      <c r="C110">
        <v>32</v>
      </c>
      <c r="D110" t="str">
        <f>IF(Customer_Analytics[[#This Row],[Age]]&lt;=30,"26-30",IF(Customer_Analytics[[#This Row],[Age]]&lt;=35,"31-35",IF(Customer_Analytics[[#This Row],[Age]]&lt;=40,"36-40","41-45")))</f>
        <v>31-35</v>
      </c>
      <c r="E110" t="s">
        <v>23</v>
      </c>
      <c r="F110" t="s">
        <v>17</v>
      </c>
      <c r="G110" s="2">
        <v>680.3</v>
      </c>
      <c r="H110">
        <v>10</v>
      </c>
      <c r="I110">
        <v>3.8</v>
      </c>
      <c r="J110" t="b">
        <v>1</v>
      </c>
      <c r="K110">
        <v>32</v>
      </c>
      <c r="L110" t="s">
        <v>21</v>
      </c>
    </row>
    <row r="111" spans="1:12" x14ac:dyDescent="0.35">
      <c r="A111">
        <v>208</v>
      </c>
      <c r="B111" t="s">
        <v>11</v>
      </c>
      <c r="C111">
        <v>36</v>
      </c>
      <c r="D111" t="str">
        <f>IF(Customer_Analytics[[#This Row],[Age]]&lt;=30,"26-30",IF(Customer_Analytics[[#This Row],[Age]]&lt;=35,"31-35",IF(Customer_Analytics[[#This Row],[Age]]&lt;=40,"36-40","41-45")))</f>
        <v>36-40</v>
      </c>
      <c r="E111" t="s">
        <v>24</v>
      </c>
      <c r="F111" t="s">
        <v>20</v>
      </c>
      <c r="G111" s="2">
        <v>470.5</v>
      </c>
      <c r="H111">
        <v>8</v>
      </c>
      <c r="I111">
        <v>3</v>
      </c>
      <c r="J111" t="b">
        <v>0</v>
      </c>
      <c r="K111">
        <v>18</v>
      </c>
      <c r="L111" t="s">
        <v>18</v>
      </c>
    </row>
    <row r="112" spans="1:12" x14ac:dyDescent="0.35">
      <c r="A112">
        <v>209</v>
      </c>
      <c r="B112" t="s">
        <v>11</v>
      </c>
      <c r="C112">
        <v>30</v>
      </c>
      <c r="D112" t="str">
        <f>IF(Customer_Analytics[[#This Row],[Age]]&lt;=30,"26-30",IF(Customer_Analytics[[#This Row],[Age]]&lt;=35,"31-35",IF(Customer_Analytics[[#This Row],[Age]]&lt;=40,"36-40","41-45")))</f>
        <v>26-30</v>
      </c>
      <c r="E112" t="s">
        <v>12</v>
      </c>
      <c r="F112" t="s">
        <v>13</v>
      </c>
      <c r="G112" s="2">
        <v>1180.8</v>
      </c>
      <c r="H112">
        <v>16</v>
      </c>
      <c r="I112">
        <v>4.7</v>
      </c>
      <c r="J112" t="b">
        <v>1</v>
      </c>
      <c r="K112">
        <v>19</v>
      </c>
      <c r="L112" t="s">
        <v>14</v>
      </c>
    </row>
    <row r="113" spans="1:12" x14ac:dyDescent="0.35">
      <c r="A113">
        <v>210</v>
      </c>
      <c r="B113" t="s">
        <v>15</v>
      </c>
      <c r="C113">
        <v>34</v>
      </c>
      <c r="D113" t="str">
        <f>IF(Customer_Analytics[[#This Row],[Age]]&lt;=30,"26-30",IF(Customer_Analytics[[#This Row],[Age]]&lt;=35,"31-35",IF(Customer_Analytics[[#This Row],[Age]]&lt;=40,"36-40","41-45")))</f>
        <v>31-35</v>
      </c>
      <c r="E113" t="s">
        <v>16</v>
      </c>
      <c r="F113" t="s">
        <v>17</v>
      </c>
      <c r="G113" s="2">
        <v>790.2</v>
      </c>
      <c r="H113">
        <v>11</v>
      </c>
      <c r="I113">
        <v>4</v>
      </c>
      <c r="J113" t="b">
        <v>0</v>
      </c>
      <c r="K113">
        <v>15</v>
      </c>
      <c r="L113" t="s">
        <v>18</v>
      </c>
    </row>
    <row r="114" spans="1:12" x14ac:dyDescent="0.35">
      <c r="A114">
        <v>211</v>
      </c>
      <c r="B114" t="s">
        <v>11</v>
      </c>
      <c r="C114">
        <v>43</v>
      </c>
      <c r="D114" t="str">
        <f>IF(Customer_Analytics[[#This Row],[Age]]&lt;=30,"26-30",IF(Customer_Analytics[[#This Row],[Age]]&lt;=35,"31-35",IF(Customer_Analytics[[#This Row],[Age]]&lt;=40,"36-40","41-45")))</f>
        <v>41-45</v>
      </c>
      <c r="E114" t="s">
        <v>19</v>
      </c>
      <c r="F114" t="s">
        <v>20</v>
      </c>
      <c r="G114" s="2">
        <v>505.75</v>
      </c>
      <c r="H114">
        <v>10</v>
      </c>
      <c r="I114">
        <v>3.3</v>
      </c>
      <c r="J114" t="b">
        <v>1</v>
      </c>
      <c r="K114">
        <v>39</v>
      </c>
      <c r="L114" t="s">
        <v>21</v>
      </c>
    </row>
    <row r="115" spans="1:12" x14ac:dyDescent="0.35">
      <c r="A115">
        <v>212</v>
      </c>
      <c r="B115" t="s">
        <v>15</v>
      </c>
      <c r="C115">
        <v>30</v>
      </c>
      <c r="D115" t="str">
        <f>IF(Customer_Analytics[[#This Row],[Age]]&lt;=30,"26-30",IF(Customer_Analytics[[#This Row],[Age]]&lt;=35,"31-35",IF(Customer_Analytics[[#This Row],[Age]]&lt;=40,"36-40","41-45")))</f>
        <v>26-30</v>
      </c>
      <c r="E115" t="s">
        <v>22</v>
      </c>
      <c r="F115" t="s">
        <v>13</v>
      </c>
      <c r="G115" s="2">
        <v>1470.5</v>
      </c>
      <c r="H115">
        <v>20</v>
      </c>
      <c r="I115">
        <v>4.8</v>
      </c>
      <c r="J115" t="b">
        <v>0</v>
      </c>
      <c r="K115">
        <v>13</v>
      </c>
      <c r="L115" t="s">
        <v>14</v>
      </c>
    </row>
    <row r="116" spans="1:12" x14ac:dyDescent="0.35">
      <c r="A116">
        <v>213</v>
      </c>
      <c r="B116" t="s">
        <v>15</v>
      </c>
      <c r="C116">
        <v>27</v>
      </c>
      <c r="D116" t="str">
        <f>IF(Customer_Analytics[[#This Row],[Age]]&lt;=30,"26-30",IF(Customer_Analytics[[#This Row],[Age]]&lt;=35,"31-35",IF(Customer_Analytics[[#This Row],[Age]]&lt;=40,"36-40","41-45")))</f>
        <v>26-30</v>
      </c>
      <c r="E116" t="s">
        <v>23</v>
      </c>
      <c r="F116" t="s">
        <v>17</v>
      </c>
      <c r="G116" s="2">
        <v>710.4</v>
      </c>
      <c r="H116">
        <v>13</v>
      </c>
      <c r="I116">
        <v>4.0999999999999996</v>
      </c>
      <c r="J116" t="b">
        <v>1</v>
      </c>
      <c r="K116">
        <v>54</v>
      </c>
      <c r="L116" t="s">
        <v>21</v>
      </c>
    </row>
    <row r="117" spans="1:12" x14ac:dyDescent="0.35">
      <c r="A117">
        <v>214</v>
      </c>
      <c r="B117" t="s">
        <v>11</v>
      </c>
      <c r="C117">
        <v>37</v>
      </c>
      <c r="D117" t="str">
        <f>IF(Customer_Analytics[[#This Row],[Age]]&lt;=30,"26-30",IF(Customer_Analytics[[#This Row],[Age]]&lt;=35,"31-35",IF(Customer_Analytics[[#This Row],[Age]]&lt;=40,"36-40","41-45")))</f>
        <v>36-40</v>
      </c>
      <c r="E117" t="s">
        <v>24</v>
      </c>
      <c r="F117" t="s">
        <v>20</v>
      </c>
      <c r="G117" s="2">
        <v>430.8</v>
      </c>
      <c r="H117">
        <v>7</v>
      </c>
      <c r="I117">
        <v>3.4</v>
      </c>
      <c r="J117" t="b">
        <v>0</v>
      </c>
      <c r="K117">
        <v>23</v>
      </c>
      <c r="L117" t="s">
        <v>18</v>
      </c>
    </row>
    <row r="118" spans="1:12" x14ac:dyDescent="0.35">
      <c r="A118">
        <v>215</v>
      </c>
      <c r="B118" t="s">
        <v>11</v>
      </c>
      <c r="C118">
        <v>31</v>
      </c>
      <c r="D118" t="str">
        <f>IF(Customer_Analytics[[#This Row],[Age]]&lt;=30,"26-30",IF(Customer_Analytics[[#This Row],[Age]]&lt;=35,"31-35",IF(Customer_Analytics[[#This Row],[Age]]&lt;=40,"36-40","41-45")))</f>
        <v>31-35</v>
      </c>
      <c r="E118" t="s">
        <v>12</v>
      </c>
      <c r="F118" t="s">
        <v>13</v>
      </c>
      <c r="G118" s="2">
        <v>1140.5999999999999</v>
      </c>
      <c r="H118">
        <v>15</v>
      </c>
      <c r="I118">
        <v>4.5999999999999996</v>
      </c>
      <c r="J118" t="b">
        <v>1</v>
      </c>
      <c r="K118">
        <v>27</v>
      </c>
      <c r="L118" t="s">
        <v>14</v>
      </c>
    </row>
    <row r="119" spans="1:12" x14ac:dyDescent="0.35">
      <c r="A119">
        <v>216</v>
      </c>
      <c r="B119" t="s">
        <v>15</v>
      </c>
      <c r="C119">
        <v>35</v>
      </c>
      <c r="D119" t="str">
        <f>IF(Customer_Analytics[[#This Row],[Age]]&lt;=30,"26-30",IF(Customer_Analytics[[#This Row],[Age]]&lt;=35,"31-35",IF(Customer_Analytics[[#This Row],[Age]]&lt;=40,"36-40","41-45")))</f>
        <v>31-35</v>
      </c>
      <c r="E119" t="s">
        <v>16</v>
      </c>
      <c r="F119" t="s">
        <v>17</v>
      </c>
      <c r="G119" s="2">
        <v>810.9</v>
      </c>
      <c r="H119">
        <v>12</v>
      </c>
      <c r="I119">
        <v>4.3</v>
      </c>
      <c r="J119" t="b">
        <v>0</v>
      </c>
      <c r="K119">
        <v>13</v>
      </c>
      <c r="L119" t="s">
        <v>18</v>
      </c>
    </row>
    <row r="120" spans="1:12" x14ac:dyDescent="0.35">
      <c r="A120">
        <v>217</v>
      </c>
      <c r="B120" t="s">
        <v>11</v>
      </c>
      <c r="C120">
        <v>41</v>
      </c>
      <c r="D120" t="str">
        <f>IF(Customer_Analytics[[#This Row],[Age]]&lt;=30,"26-30",IF(Customer_Analytics[[#This Row],[Age]]&lt;=35,"31-35",IF(Customer_Analytics[[#This Row],[Age]]&lt;=40,"36-40","41-45")))</f>
        <v>41-45</v>
      </c>
      <c r="E120" t="s">
        <v>19</v>
      </c>
      <c r="F120" t="s">
        <v>20</v>
      </c>
      <c r="G120" s="2">
        <v>485.25</v>
      </c>
      <c r="H120">
        <v>9</v>
      </c>
      <c r="I120">
        <v>3.6</v>
      </c>
      <c r="J120" t="b">
        <v>1</v>
      </c>
      <c r="K120">
        <v>39</v>
      </c>
      <c r="L120" t="s">
        <v>21</v>
      </c>
    </row>
    <row r="121" spans="1:12" x14ac:dyDescent="0.35">
      <c r="A121">
        <v>218</v>
      </c>
      <c r="B121" t="s">
        <v>15</v>
      </c>
      <c r="C121">
        <v>28</v>
      </c>
      <c r="D121" t="str">
        <f>IF(Customer_Analytics[[#This Row],[Age]]&lt;=30,"26-30",IF(Customer_Analytics[[#This Row],[Age]]&lt;=35,"31-35",IF(Customer_Analytics[[#This Row],[Age]]&lt;=40,"36-40","41-45")))</f>
        <v>26-30</v>
      </c>
      <c r="E121" t="s">
        <v>22</v>
      </c>
      <c r="F121" t="s">
        <v>13</v>
      </c>
      <c r="G121" s="2">
        <v>1500.1</v>
      </c>
      <c r="H121">
        <v>21</v>
      </c>
      <c r="I121">
        <v>4.9000000000000004</v>
      </c>
      <c r="J121" t="b">
        <v>0</v>
      </c>
      <c r="K121">
        <v>10</v>
      </c>
      <c r="L121" t="s">
        <v>14</v>
      </c>
    </row>
    <row r="122" spans="1:12" x14ac:dyDescent="0.35">
      <c r="A122">
        <v>219</v>
      </c>
      <c r="B122" t="s">
        <v>15</v>
      </c>
      <c r="C122">
        <v>32</v>
      </c>
      <c r="D122" t="str">
        <f>IF(Customer_Analytics[[#This Row],[Age]]&lt;=30,"26-30",IF(Customer_Analytics[[#This Row],[Age]]&lt;=35,"31-35",IF(Customer_Analytics[[#This Row],[Age]]&lt;=40,"36-40","41-45")))</f>
        <v>31-35</v>
      </c>
      <c r="E122" t="s">
        <v>23</v>
      </c>
      <c r="F122" t="s">
        <v>17</v>
      </c>
      <c r="G122" s="2">
        <v>670.3</v>
      </c>
      <c r="H122">
        <v>10</v>
      </c>
      <c r="I122">
        <v>3.8</v>
      </c>
      <c r="J122" t="b">
        <v>1</v>
      </c>
      <c r="K122">
        <v>33</v>
      </c>
      <c r="L122" t="s">
        <v>21</v>
      </c>
    </row>
    <row r="123" spans="1:12" x14ac:dyDescent="0.35">
      <c r="A123">
        <v>220</v>
      </c>
      <c r="B123" t="s">
        <v>11</v>
      </c>
      <c r="C123">
        <v>36</v>
      </c>
      <c r="D123" t="str">
        <f>IF(Customer_Analytics[[#This Row],[Age]]&lt;=30,"26-30",IF(Customer_Analytics[[#This Row],[Age]]&lt;=35,"31-35",IF(Customer_Analytics[[#This Row],[Age]]&lt;=40,"36-40","41-45")))</f>
        <v>36-40</v>
      </c>
      <c r="E123" t="s">
        <v>24</v>
      </c>
      <c r="F123" t="s">
        <v>20</v>
      </c>
      <c r="G123" s="2">
        <v>460.5</v>
      </c>
      <c r="H123">
        <v>8</v>
      </c>
      <c r="I123">
        <v>3.1</v>
      </c>
      <c r="J123" t="b">
        <v>0</v>
      </c>
      <c r="K123">
        <v>19</v>
      </c>
      <c r="L123" t="s">
        <v>18</v>
      </c>
    </row>
    <row r="124" spans="1:12" x14ac:dyDescent="0.35">
      <c r="A124">
        <v>221</v>
      </c>
      <c r="B124" t="s">
        <v>11</v>
      </c>
      <c r="C124">
        <v>30</v>
      </c>
      <c r="D124" t="str">
        <f>IF(Customer_Analytics[[#This Row],[Age]]&lt;=30,"26-30",IF(Customer_Analytics[[#This Row],[Age]]&lt;=35,"31-35",IF(Customer_Analytics[[#This Row],[Age]]&lt;=40,"36-40","41-45")))</f>
        <v>26-30</v>
      </c>
      <c r="E124" t="s">
        <v>12</v>
      </c>
      <c r="F124" t="s">
        <v>13</v>
      </c>
      <c r="G124" s="2">
        <v>1190.8</v>
      </c>
      <c r="H124">
        <v>16</v>
      </c>
      <c r="I124">
        <v>4.5</v>
      </c>
      <c r="J124" t="b">
        <v>1</v>
      </c>
      <c r="K124">
        <v>20</v>
      </c>
      <c r="L124" t="s">
        <v>14</v>
      </c>
    </row>
    <row r="125" spans="1:12" x14ac:dyDescent="0.35">
      <c r="A125">
        <v>222</v>
      </c>
      <c r="B125" t="s">
        <v>15</v>
      </c>
      <c r="C125">
        <v>33</v>
      </c>
      <c r="D125" t="str">
        <f>IF(Customer_Analytics[[#This Row],[Age]]&lt;=30,"26-30",IF(Customer_Analytics[[#This Row],[Age]]&lt;=35,"31-35",IF(Customer_Analytics[[#This Row],[Age]]&lt;=40,"36-40","41-45")))</f>
        <v>31-35</v>
      </c>
      <c r="E125" t="s">
        <v>16</v>
      </c>
      <c r="F125" t="s">
        <v>17</v>
      </c>
      <c r="G125" s="2">
        <v>830.75</v>
      </c>
      <c r="H125">
        <v>13</v>
      </c>
      <c r="I125">
        <v>4.2</v>
      </c>
      <c r="J125" t="b">
        <v>0</v>
      </c>
      <c r="K125">
        <v>14</v>
      </c>
      <c r="L125" t="s">
        <v>14</v>
      </c>
    </row>
    <row r="126" spans="1:12" x14ac:dyDescent="0.35">
      <c r="A126">
        <v>223</v>
      </c>
      <c r="B126" t="s">
        <v>11</v>
      </c>
      <c r="C126">
        <v>42</v>
      </c>
      <c r="D126" t="str">
        <f>IF(Customer_Analytics[[#This Row],[Age]]&lt;=30,"26-30",IF(Customer_Analytics[[#This Row],[Age]]&lt;=35,"31-35",IF(Customer_Analytics[[#This Row],[Age]]&lt;=40,"36-40","41-45")))</f>
        <v>41-45</v>
      </c>
      <c r="E126" t="s">
        <v>19</v>
      </c>
      <c r="F126" t="s">
        <v>20</v>
      </c>
      <c r="G126" s="2">
        <v>520.4</v>
      </c>
      <c r="H126">
        <v>9</v>
      </c>
      <c r="I126">
        <v>3.5</v>
      </c>
      <c r="J126" t="b">
        <v>1</v>
      </c>
      <c r="K126">
        <v>37</v>
      </c>
      <c r="L126" t="s">
        <v>21</v>
      </c>
    </row>
    <row r="127" spans="1:12" x14ac:dyDescent="0.35">
      <c r="A127">
        <v>224</v>
      </c>
      <c r="B127" t="s">
        <v>15</v>
      </c>
      <c r="C127">
        <v>29</v>
      </c>
      <c r="D127" t="str">
        <f>IF(Customer_Analytics[[#This Row],[Age]]&lt;=30,"26-30",IF(Customer_Analytics[[#This Row],[Age]]&lt;=35,"31-35",IF(Customer_Analytics[[#This Row],[Age]]&lt;=40,"36-40","41-45")))</f>
        <v>26-30</v>
      </c>
      <c r="E127" t="s">
        <v>22</v>
      </c>
      <c r="F127" t="s">
        <v>13</v>
      </c>
      <c r="G127" s="2">
        <v>1370.2</v>
      </c>
      <c r="H127">
        <v>18</v>
      </c>
      <c r="I127">
        <v>4.7</v>
      </c>
      <c r="J127" t="b">
        <v>0</v>
      </c>
      <c r="K127">
        <v>10</v>
      </c>
      <c r="L127" t="s">
        <v>14</v>
      </c>
    </row>
    <row r="128" spans="1:12" x14ac:dyDescent="0.35">
      <c r="A128">
        <v>225</v>
      </c>
      <c r="B128" t="s">
        <v>15</v>
      </c>
      <c r="C128">
        <v>26</v>
      </c>
      <c r="D128" t="str">
        <f>IF(Customer_Analytics[[#This Row],[Age]]&lt;=30,"26-30",IF(Customer_Analytics[[#This Row],[Age]]&lt;=35,"31-35",IF(Customer_Analytics[[#This Row],[Age]]&lt;=40,"36-40","41-45")))</f>
        <v>26-30</v>
      </c>
      <c r="E128" t="s">
        <v>23</v>
      </c>
      <c r="F128" t="s">
        <v>17</v>
      </c>
      <c r="G128" s="2">
        <v>690.6</v>
      </c>
      <c r="H128">
        <v>12</v>
      </c>
      <c r="I128">
        <v>3.9</v>
      </c>
      <c r="J128" t="b">
        <v>1</v>
      </c>
      <c r="K128">
        <v>47</v>
      </c>
      <c r="L128" t="s">
        <v>21</v>
      </c>
    </row>
    <row r="129" spans="1:12" x14ac:dyDescent="0.35">
      <c r="A129">
        <v>226</v>
      </c>
      <c r="B129" t="s">
        <v>11</v>
      </c>
      <c r="C129">
        <v>38</v>
      </c>
      <c r="D129" t="str">
        <f>IF(Customer_Analytics[[#This Row],[Age]]&lt;=30,"26-30",IF(Customer_Analytics[[#This Row],[Age]]&lt;=35,"31-35",IF(Customer_Analytics[[#This Row],[Age]]&lt;=40,"36-40","41-45")))</f>
        <v>36-40</v>
      </c>
      <c r="E129" t="s">
        <v>24</v>
      </c>
      <c r="F129" t="s">
        <v>20</v>
      </c>
      <c r="G129" s="2">
        <v>440.9</v>
      </c>
      <c r="H129">
        <v>8</v>
      </c>
      <c r="I129">
        <v>3.2</v>
      </c>
      <c r="J129" t="b">
        <v>0</v>
      </c>
      <c r="K129">
        <v>24</v>
      </c>
      <c r="L129" t="s">
        <v>18</v>
      </c>
    </row>
    <row r="130" spans="1:12" x14ac:dyDescent="0.35">
      <c r="A130">
        <v>227</v>
      </c>
      <c r="B130" t="s">
        <v>11</v>
      </c>
      <c r="C130">
        <v>32</v>
      </c>
      <c r="D130" t="str">
        <f>IF(Customer_Analytics[[#This Row],[Age]]&lt;=30,"26-30",IF(Customer_Analytics[[#This Row],[Age]]&lt;=35,"31-35",IF(Customer_Analytics[[#This Row],[Age]]&lt;=40,"36-40","41-45")))</f>
        <v>31-35</v>
      </c>
      <c r="E130" t="s">
        <v>12</v>
      </c>
      <c r="F130" t="s">
        <v>13</v>
      </c>
      <c r="G130" s="2">
        <v>1160.3</v>
      </c>
      <c r="H130">
        <v>14</v>
      </c>
      <c r="I130">
        <v>4.4000000000000004</v>
      </c>
      <c r="J130" t="b">
        <v>1</v>
      </c>
      <c r="K130">
        <v>22</v>
      </c>
      <c r="L130" t="s">
        <v>14</v>
      </c>
    </row>
    <row r="131" spans="1:12" x14ac:dyDescent="0.35">
      <c r="A131">
        <v>228</v>
      </c>
      <c r="B131" t="s">
        <v>15</v>
      </c>
      <c r="C131">
        <v>34</v>
      </c>
      <c r="D131" t="str">
        <f>IF(Customer_Analytics[[#This Row],[Age]]&lt;=30,"26-30",IF(Customer_Analytics[[#This Row],[Age]]&lt;=35,"31-35",IF(Customer_Analytics[[#This Row],[Age]]&lt;=40,"36-40","41-45")))</f>
        <v>31-35</v>
      </c>
      <c r="E131" t="s">
        <v>16</v>
      </c>
      <c r="F131" t="s">
        <v>17</v>
      </c>
      <c r="G131" s="2">
        <v>800.2</v>
      </c>
      <c r="H131">
        <v>11</v>
      </c>
      <c r="I131">
        <v>4.0999999999999996</v>
      </c>
      <c r="J131" t="b">
        <v>0</v>
      </c>
      <c r="K131">
        <v>17</v>
      </c>
      <c r="L131" t="s">
        <v>18</v>
      </c>
    </row>
    <row r="132" spans="1:12" x14ac:dyDescent="0.35">
      <c r="A132">
        <v>229</v>
      </c>
      <c r="B132" t="s">
        <v>11</v>
      </c>
      <c r="C132">
        <v>43</v>
      </c>
      <c r="D132" t="str">
        <f>IF(Customer_Analytics[[#This Row],[Age]]&lt;=30,"26-30",IF(Customer_Analytics[[#This Row],[Age]]&lt;=35,"31-35",IF(Customer_Analytics[[#This Row],[Age]]&lt;=40,"36-40","41-45")))</f>
        <v>41-45</v>
      </c>
      <c r="E132" t="s">
        <v>19</v>
      </c>
      <c r="F132" t="s">
        <v>20</v>
      </c>
      <c r="G132" s="2">
        <v>500.75</v>
      </c>
      <c r="H132">
        <v>10</v>
      </c>
      <c r="I132">
        <v>3.3</v>
      </c>
      <c r="J132" t="b">
        <v>1</v>
      </c>
      <c r="K132">
        <v>40</v>
      </c>
      <c r="L132" t="s">
        <v>21</v>
      </c>
    </row>
    <row r="133" spans="1:12" x14ac:dyDescent="0.35">
      <c r="A133">
        <v>230</v>
      </c>
      <c r="B133" t="s">
        <v>15</v>
      </c>
      <c r="C133">
        <v>30</v>
      </c>
      <c r="D133" t="str">
        <f>IF(Customer_Analytics[[#This Row],[Age]]&lt;=30,"26-30",IF(Customer_Analytics[[#This Row],[Age]]&lt;=35,"31-35",IF(Customer_Analytics[[#This Row],[Age]]&lt;=40,"36-40","41-45")))</f>
        <v>26-30</v>
      </c>
      <c r="E133" t="s">
        <v>22</v>
      </c>
      <c r="F133" t="s">
        <v>13</v>
      </c>
      <c r="G133" s="2">
        <v>1460.5</v>
      </c>
      <c r="H133">
        <v>20</v>
      </c>
      <c r="I133">
        <v>4.8</v>
      </c>
      <c r="J133" t="b">
        <v>0</v>
      </c>
      <c r="K133">
        <v>12</v>
      </c>
      <c r="L133" t="s">
        <v>14</v>
      </c>
    </row>
    <row r="134" spans="1:12" x14ac:dyDescent="0.35">
      <c r="A134">
        <v>231</v>
      </c>
      <c r="B134" t="s">
        <v>15</v>
      </c>
      <c r="C134">
        <v>27</v>
      </c>
      <c r="D134" t="str">
        <f>IF(Customer_Analytics[[#This Row],[Age]]&lt;=30,"26-30",IF(Customer_Analytics[[#This Row],[Age]]&lt;=35,"31-35",IF(Customer_Analytics[[#This Row],[Age]]&lt;=40,"36-40","41-45")))</f>
        <v>26-30</v>
      </c>
      <c r="E134" t="s">
        <v>23</v>
      </c>
      <c r="F134" t="s">
        <v>17</v>
      </c>
      <c r="G134" s="2">
        <v>700.4</v>
      </c>
      <c r="H134">
        <v>13</v>
      </c>
      <c r="I134">
        <v>4</v>
      </c>
      <c r="J134" t="b">
        <v>1</v>
      </c>
      <c r="K134">
        <v>53</v>
      </c>
      <c r="L134" t="s">
        <v>21</v>
      </c>
    </row>
    <row r="135" spans="1:12" x14ac:dyDescent="0.35">
      <c r="A135">
        <v>232</v>
      </c>
      <c r="B135" t="s">
        <v>11</v>
      </c>
      <c r="C135">
        <v>37</v>
      </c>
      <c r="D135" t="str">
        <f>IF(Customer_Analytics[[#This Row],[Age]]&lt;=30,"26-30",IF(Customer_Analytics[[#This Row],[Age]]&lt;=35,"31-35",IF(Customer_Analytics[[#This Row],[Age]]&lt;=40,"36-40","41-45")))</f>
        <v>36-40</v>
      </c>
      <c r="E135" t="s">
        <v>24</v>
      </c>
      <c r="F135" t="s">
        <v>20</v>
      </c>
      <c r="G135" s="2">
        <v>420.8</v>
      </c>
      <c r="H135">
        <v>7</v>
      </c>
      <c r="I135">
        <v>3.1</v>
      </c>
      <c r="J135" t="b">
        <v>0</v>
      </c>
      <c r="K135">
        <v>21</v>
      </c>
      <c r="L135" t="s">
        <v>18</v>
      </c>
    </row>
    <row r="136" spans="1:12" x14ac:dyDescent="0.35">
      <c r="A136">
        <v>233</v>
      </c>
      <c r="B136" t="s">
        <v>11</v>
      </c>
      <c r="C136">
        <v>31</v>
      </c>
      <c r="D136" t="str">
        <f>IF(Customer_Analytics[[#This Row],[Age]]&lt;=30,"26-30",IF(Customer_Analytics[[#This Row],[Age]]&lt;=35,"31-35",IF(Customer_Analytics[[#This Row],[Age]]&lt;=40,"36-40","41-45")))</f>
        <v>31-35</v>
      </c>
      <c r="E136" t="s">
        <v>12</v>
      </c>
      <c r="F136" t="s">
        <v>13</v>
      </c>
      <c r="G136" s="2">
        <v>1130.5999999999999</v>
      </c>
      <c r="H136">
        <v>15</v>
      </c>
      <c r="I136">
        <v>4.5</v>
      </c>
      <c r="J136" t="b">
        <v>1</v>
      </c>
      <c r="K136">
        <v>26</v>
      </c>
      <c r="L136" t="s">
        <v>14</v>
      </c>
    </row>
    <row r="137" spans="1:12" x14ac:dyDescent="0.35">
      <c r="A137">
        <v>234</v>
      </c>
      <c r="B137" t="s">
        <v>15</v>
      </c>
      <c r="C137">
        <v>35</v>
      </c>
      <c r="D137" t="str">
        <f>IF(Customer_Analytics[[#This Row],[Age]]&lt;=30,"26-30",IF(Customer_Analytics[[#This Row],[Age]]&lt;=35,"31-35",IF(Customer_Analytics[[#This Row],[Age]]&lt;=40,"36-40","41-45")))</f>
        <v>31-35</v>
      </c>
      <c r="E137" t="s">
        <v>16</v>
      </c>
      <c r="F137" t="s">
        <v>17</v>
      </c>
      <c r="G137" s="2">
        <v>820.9</v>
      </c>
      <c r="H137">
        <v>12</v>
      </c>
      <c r="I137">
        <v>4.3</v>
      </c>
      <c r="J137" t="b">
        <v>0</v>
      </c>
      <c r="K137">
        <v>12</v>
      </c>
      <c r="L137" t="s">
        <v>18</v>
      </c>
    </row>
    <row r="138" spans="1:12" x14ac:dyDescent="0.35">
      <c r="A138">
        <v>235</v>
      </c>
      <c r="B138" t="s">
        <v>11</v>
      </c>
      <c r="C138">
        <v>41</v>
      </c>
      <c r="D138" t="str">
        <f>IF(Customer_Analytics[[#This Row],[Age]]&lt;=30,"26-30",IF(Customer_Analytics[[#This Row],[Age]]&lt;=35,"31-35",IF(Customer_Analytics[[#This Row],[Age]]&lt;=40,"36-40","41-45")))</f>
        <v>41-45</v>
      </c>
      <c r="E138" t="s">
        <v>19</v>
      </c>
      <c r="F138" t="s">
        <v>20</v>
      </c>
      <c r="G138" s="2">
        <v>480.25</v>
      </c>
      <c r="H138">
        <v>9</v>
      </c>
      <c r="I138">
        <v>3.6</v>
      </c>
      <c r="J138" t="b">
        <v>1</v>
      </c>
      <c r="K138">
        <v>38</v>
      </c>
      <c r="L138" t="s">
        <v>21</v>
      </c>
    </row>
    <row r="139" spans="1:12" x14ac:dyDescent="0.35">
      <c r="A139">
        <v>236</v>
      </c>
      <c r="B139" t="s">
        <v>15</v>
      </c>
      <c r="C139">
        <v>28</v>
      </c>
      <c r="D139" t="str">
        <f>IF(Customer_Analytics[[#This Row],[Age]]&lt;=30,"26-30",IF(Customer_Analytics[[#This Row],[Age]]&lt;=35,"31-35",IF(Customer_Analytics[[#This Row],[Age]]&lt;=40,"36-40","41-45")))</f>
        <v>26-30</v>
      </c>
      <c r="E139" t="s">
        <v>22</v>
      </c>
      <c r="F139" t="s">
        <v>13</v>
      </c>
      <c r="G139" s="2">
        <v>1490.1</v>
      </c>
      <c r="H139">
        <v>21</v>
      </c>
      <c r="I139">
        <v>4.9000000000000004</v>
      </c>
      <c r="J139" t="b">
        <v>0</v>
      </c>
      <c r="K139">
        <v>9</v>
      </c>
      <c r="L139" t="s">
        <v>14</v>
      </c>
    </row>
    <row r="140" spans="1:12" x14ac:dyDescent="0.35">
      <c r="A140">
        <v>237</v>
      </c>
      <c r="B140" t="s">
        <v>15</v>
      </c>
      <c r="C140">
        <v>32</v>
      </c>
      <c r="D140" t="str">
        <f>IF(Customer_Analytics[[#This Row],[Age]]&lt;=30,"26-30",IF(Customer_Analytics[[#This Row],[Age]]&lt;=35,"31-35",IF(Customer_Analytics[[#This Row],[Age]]&lt;=40,"36-40","41-45")))</f>
        <v>31-35</v>
      </c>
      <c r="E140" t="s">
        <v>23</v>
      </c>
      <c r="F140" t="s">
        <v>17</v>
      </c>
      <c r="G140" s="2">
        <v>680.3</v>
      </c>
      <c r="H140">
        <v>10</v>
      </c>
      <c r="I140">
        <v>3.8</v>
      </c>
      <c r="J140" t="b">
        <v>1</v>
      </c>
      <c r="K140">
        <v>32</v>
      </c>
      <c r="L140" t="s">
        <v>21</v>
      </c>
    </row>
    <row r="141" spans="1:12" x14ac:dyDescent="0.35">
      <c r="A141">
        <v>238</v>
      </c>
      <c r="B141" t="s">
        <v>11</v>
      </c>
      <c r="C141">
        <v>36</v>
      </c>
      <c r="D141" t="str">
        <f>IF(Customer_Analytics[[#This Row],[Age]]&lt;=30,"26-30",IF(Customer_Analytics[[#This Row],[Age]]&lt;=35,"31-35",IF(Customer_Analytics[[#This Row],[Age]]&lt;=40,"36-40","41-45")))</f>
        <v>36-40</v>
      </c>
      <c r="E141" t="s">
        <v>24</v>
      </c>
      <c r="F141" t="s">
        <v>20</v>
      </c>
      <c r="G141" s="2">
        <v>470.5</v>
      </c>
      <c r="H141">
        <v>8</v>
      </c>
      <c r="I141">
        <v>3</v>
      </c>
      <c r="J141" t="b">
        <v>0</v>
      </c>
      <c r="K141">
        <v>18</v>
      </c>
      <c r="L141" t="s">
        <v>18</v>
      </c>
    </row>
    <row r="142" spans="1:12" x14ac:dyDescent="0.35">
      <c r="A142">
        <v>239</v>
      </c>
      <c r="B142" t="s">
        <v>11</v>
      </c>
      <c r="C142">
        <v>30</v>
      </c>
      <c r="D142" t="str">
        <f>IF(Customer_Analytics[[#This Row],[Age]]&lt;=30,"26-30",IF(Customer_Analytics[[#This Row],[Age]]&lt;=35,"31-35",IF(Customer_Analytics[[#This Row],[Age]]&lt;=40,"36-40","41-45")))</f>
        <v>26-30</v>
      </c>
      <c r="E142" t="s">
        <v>12</v>
      </c>
      <c r="F142" t="s">
        <v>13</v>
      </c>
      <c r="G142" s="2">
        <v>1180.8</v>
      </c>
      <c r="H142">
        <v>16</v>
      </c>
      <c r="I142">
        <v>4.7</v>
      </c>
      <c r="J142" t="b">
        <v>1</v>
      </c>
      <c r="K142">
        <v>19</v>
      </c>
      <c r="L142" t="s">
        <v>14</v>
      </c>
    </row>
    <row r="143" spans="1:12" x14ac:dyDescent="0.35">
      <c r="A143">
        <v>240</v>
      </c>
      <c r="B143" t="s">
        <v>15</v>
      </c>
      <c r="C143">
        <v>34</v>
      </c>
      <c r="D143" t="str">
        <f>IF(Customer_Analytics[[#This Row],[Age]]&lt;=30,"26-30",IF(Customer_Analytics[[#This Row],[Age]]&lt;=35,"31-35",IF(Customer_Analytics[[#This Row],[Age]]&lt;=40,"36-40","41-45")))</f>
        <v>31-35</v>
      </c>
      <c r="E143" t="s">
        <v>16</v>
      </c>
      <c r="F143" t="s">
        <v>17</v>
      </c>
      <c r="G143" s="2">
        <v>790.2</v>
      </c>
      <c r="H143">
        <v>11</v>
      </c>
      <c r="I143">
        <v>4</v>
      </c>
      <c r="J143" t="b">
        <v>0</v>
      </c>
      <c r="K143">
        <v>15</v>
      </c>
      <c r="L143" t="s">
        <v>18</v>
      </c>
    </row>
    <row r="144" spans="1:12" x14ac:dyDescent="0.35">
      <c r="A144">
        <v>241</v>
      </c>
      <c r="B144" t="s">
        <v>11</v>
      </c>
      <c r="C144">
        <v>43</v>
      </c>
      <c r="D144" t="str">
        <f>IF(Customer_Analytics[[#This Row],[Age]]&lt;=30,"26-30",IF(Customer_Analytics[[#This Row],[Age]]&lt;=35,"31-35",IF(Customer_Analytics[[#This Row],[Age]]&lt;=40,"36-40","41-45")))</f>
        <v>41-45</v>
      </c>
      <c r="E144" t="s">
        <v>19</v>
      </c>
      <c r="F144" t="s">
        <v>20</v>
      </c>
      <c r="G144" s="2">
        <v>505.75</v>
      </c>
      <c r="H144">
        <v>10</v>
      </c>
      <c r="I144">
        <v>3.3</v>
      </c>
      <c r="J144" t="b">
        <v>1</v>
      </c>
      <c r="K144">
        <v>39</v>
      </c>
      <c r="L144" t="s">
        <v>21</v>
      </c>
    </row>
    <row r="145" spans="1:12" x14ac:dyDescent="0.35">
      <c r="A145">
        <v>242</v>
      </c>
      <c r="B145" t="s">
        <v>15</v>
      </c>
      <c r="C145">
        <v>30</v>
      </c>
      <c r="D145" t="str">
        <f>IF(Customer_Analytics[[#This Row],[Age]]&lt;=30,"26-30",IF(Customer_Analytics[[#This Row],[Age]]&lt;=35,"31-35",IF(Customer_Analytics[[#This Row],[Age]]&lt;=40,"36-40","41-45")))</f>
        <v>26-30</v>
      </c>
      <c r="E145" t="s">
        <v>22</v>
      </c>
      <c r="F145" t="s">
        <v>13</v>
      </c>
      <c r="G145" s="2">
        <v>1470.5</v>
      </c>
      <c r="H145">
        <v>20</v>
      </c>
      <c r="I145">
        <v>4.8</v>
      </c>
      <c r="J145" t="b">
        <v>0</v>
      </c>
      <c r="K145">
        <v>13</v>
      </c>
      <c r="L145" t="s">
        <v>14</v>
      </c>
    </row>
    <row r="146" spans="1:12" x14ac:dyDescent="0.35">
      <c r="A146">
        <v>243</v>
      </c>
      <c r="B146" t="s">
        <v>15</v>
      </c>
      <c r="C146">
        <v>27</v>
      </c>
      <c r="D146" t="str">
        <f>IF(Customer_Analytics[[#This Row],[Age]]&lt;=30,"26-30",IF(Customer_Analytics[[#This Row],[Age]]&lt;=35,"31-35",IF(Customer_Analytics[[#This Row],[Age]]&lt;=40,"36-40","41-45")))</f>
        <v>26-30</v>
      </c>
      <c r="E146" t="s">
        <v>23</v>
      </c>
      <c r="F146" t="s">
        <v>17</v>
      </c>
      <c r="G146" s="2">
        <v>710.4</v>
      </c>
      <c r="H146">
        <v>13</v>
      </c>
      <c r="I146">
        <v>4.0999999999999996</v>
      </c>
      <c r="J146" t="b">
        <v>1</v>
      </c>
      <c r="K146">
        <v>54</v>
      </c>
      <c r="L146" t="s">
        <v>21</v>
      </c>
    </row>
    <row r="147" spans="1:12" x14ac:dyDescent="0.35">
      <c r="A147">
        <v>244</v>
      </c>
      <c r="B147" t="s">
        <v>11</v>
      </c>
      <c r="C147">
        <v>37</v>
      </c>
      <c r="D147" t="str">
        <f>IF(Customer_Analytics[[#This Row],[Age]]&lt;=30,"26-30",IF(Customer_Analytics[[#This Row],[Age]]&lt;=35,"31-35",IF(Customer_Analytics[[#This Row],[Age]]&lt;=40,"36-40","41-45")))</f>
        <v>36-40</v>
      </c>
      <c r="E147" t="s">
        <v>24</v>
      </c>
      <c r="F147" t="s">
        <v>20</v>
      </c>
      <c r="G147" s="2">
        <v>430.8</v>
      </c>
      <c r="H147">
        <v>7</v>
      </c>
      <c r="I147">
        <v>3.4</v>
      </c>
      <c r="J147" t="b">
        <v>0</v>
      </c>
      <c r="K147">
        <v>23</v>
      </c>
    </row>
    <row r="148" spans="1:12" x14ac:dyDescent="0.35">
      <c r="A148">
        <v>245</v>
      </c>
      <c r="B148" t="s">
        <v>11</v>
      </c>
      <c r="C148">
        <v>31</v>
      </c>
      <c r="D148" t="str">
        <f>IF(Customer_Analytics[[#This Row],[Age]]&lt;=30,"26-30",IF(Customer_Analytics[[#This Row],[Age]]&lt;=35,"31-35",IF(Customer_Analytics[[#This Row],[Age]]&lt;=40,"36-40","41-45")))</f>
        <v>31-35</v>
      </c>
      <c r="E148" t="s">
        <v>12</v>
      </c>
      <c r="F148" t="s">
        <v>13</v>
      </c>
      <c r="G148" s="2">
        <v>1130.5999999999999</v>
      </c>
      <c r="H148">
        <v>15</v>
      </c>
      <c r="I148">
        <v>4.5</v>
      </c>
      <c r="J148" t="b">
        <v>1</v>
      </c>
      <c r="K148">
        <v>26</v>
      </c>
      <c r="L148" t="s">
        <v>14</v>
      </c>
    </row>
    <row r="149" spans="1:12" x14ac:dyDescent="0.35">
      <c r="A149">
        <v>246</v>
      </c>
      <c r="B149" t="s">
        <v>15</v>
      </c>
      <c r="C149">
        <v>35</v>
      </c>
      <c r="D149" t="str">
        <f>IF(Customer_Analytics[[#This Row],[Age]]&lt;=30,"26-30",IF(Customer_Analytics[[#This Row],[Age]]&lt;=35,"31-35",IF(Customer_Analytics[[#This Row],[Age]]&lt;=40,"36-40","41-45")))</f>
        <v>31-35</v>
      </c>
      <c r="E149" t="s">
        <v>16</v>
      </c>
      <c r="F149" t="s">
        <v>17</v>
      </c>
      <c r="G149" s="2">
        <v>820.9</v>
      </c>
      <c r="H149">
        <v>12</v>
      </c>
      <c r="I149">
        <v>4.3</v>
      </c>
      <c r="J149" t="b">
        <v>0</v>
      </c>
      <c r="K149">
        <v>12</v>
      </c>
      <c r="L149" t="s">
        <v>18</v>
      </c>
    </row>
    <row r="150" spans="1:12" x14ac:dyDescent="0.35">
      <c r="A150">
        <v>247</v>
      </c>
      <c r="B150" t="s">
        <v>11</v>
      </c>
      <c r="C150">
        <v>41</v>
      </c>
      <c r="D150" t="str">
        <f>IF(Customer_Analytics[[#This Row],[Age]]&lt;=30,"26-30",IF(Customer_Analytics[[#This Row],[Age]]&lt;=35,"31-35",IF(Customer_Analytics[[#This Row],[Age]]&lt;=40,"36-40","41-45")))</f>
        <v>41-45</v>
      </c>
      <c r="E150" t="s">
        <v>19</v>
      </c>
      <c r="F150" t="s">
        <v>20</v>
      </c>
      <c r="G150" s="2">
        <v>480.25</v>
      </c>
      <c r="H150">
        <v>9</v>
      </c>
      <c r="I150">
        <v>3.6</v>
      </c>
      <c r="J150" t="b">
        <v>1</v>
      </c>
      <c r="K150">
        <v>38</v>
      </c>
      <c r="L150" t="s">
        <v>21</v>
      </c>
    </row>
    <row r="151" spans="1:12" x14ac:dyDescent="0.35">
      <c r="A151">
        <v>248</v>
      </c>
      <c r="B151" t="s">
        <v>15</v>
      </c>
      <c r="C151">
        <v>28</v>
      </c>
      <c r="D151" t="str">
        <f>IF(Customer_Analytics[[#This Row],[Age]]&lt;=30,"26-30",IF(Customer_Analytics[[#This Row],[Age]]&lt;=35,"31-35",IF(Customer_Analytics[[#This Row],[Age]]&lt;=40,"36-40","41-45")))</f>
        <v>26-30</v>
      </c>
      <c r="E151" t="s">
        <v>22</v>
      </c>
      <c r="F151" t="s">
        <v>13</v>
      </c>
      <c r="G151" s="2">
        <v>1490.1</v>
      </c>
      <c r="H151">
        <v>21</v>
      </c>
      <c r="I151">
        <v>4.9000000000000004</v>
      </c>
      <c r="J151" t="b">
        <v>0</v>
      </c>
      <c r="K151">
        <v>9</v>
      </c>
      <c r="L151" t="s">
        <v>14</v>
      </c>
    </row>
    <row r="152" spans="1:12" x14ac:dyDescent="0.35">
      <c r="A152">
        <v>249</v>
      </c>
      <c r="B152" t="s">
        <v>15</v>
      </c>
      <c r="C152">
        <v>32</v>
      </c>
      <c r="D152" t="str">
        <f>IF(Customer_Analytics[[#This Row],[Age]]&lt;=30,"26-30",IF(Customer_Analytics[[#This Row],[Age]]&lt;=35,"31-35",IF(Customer_Analytics[[#This Row],[Age]]&lt;=40,"36-40","41-45")))</f>
        <v>31-35</v>
      </c>
      <c r="E152" t="s">
        <v>23</v>
      </c>
      <c r="F152" t="s">
        <v>17</v>
      </c>
      <c r="G152" s="2">
        <v>680.3</v>
      </c>
      <c r="H152">
        <v>10</v>
      </c>
      <c r="I152">
        <v>3.8</v>
      </c>
      <c r="J152" t="b">
        <v>1</v>
      </c>
      <c r="K152">
        <v>32</v>
      </c>
      <c r="L152" t="s">
        <v>21</v>
      </c>
    </row>
    <row r="153" spans="1:12" x14ac:dyDescent="0.35">
      <c r="A153">
        <v>250</v>
      </c>
      <c r="B153" t="s">
        <v>11</v>
      </c>
      <c r="C153">
        <v>36</v>
      </c>
      <c r="D153" t="str">
        <f>IF(Customer_Analytics[[#This Row],[Age]]&lt;=30,"26-30",IF(Customer_Analytics[[#This Row],[Age]]&lt;=35,"31-35",IF(Customer_Analytics[[#This Row],[Age]]&lt;=40,"36-40","41-45")))</f>
        <v>36-40</v>
      </c>
      <c r="E153" t="s">
        <v>24</v>
      </c>
      <c r="F153" t="s">
        <v>20</v>
      </c>
      <c r="G153" s="2">
        <v>470.5</v>
      </c>
      <c r="H153">
        <v>8</v>
      </c>
      <c r="I153">
        <v>3</v>
      </c>
      <c r="J153" t="b">
        <v>0</v>
      </c>
      <c r="K153">
        <v>18</v>
      </c>
      <c r="L153" t="s">
        <v>18</v>
      </c>
    </row>
    <row r="154" spans="1:12" x14ac:dyDescent="0.35">
      <c r="A154">
        <v>251</v>
      </c>
      <c r="B154" t="s">
        <v>11</v>
      </c>
      <c r="C154">
        <v>30</v>
      </c>
      <c r="D154" t="str">
        <f>IF(Customer_Analytics[[#This Row],[Age]]&lt;=30,"26-30",IF(Customer_Analytics[[#This Row],[Age]]&lt;=35,"31-35",IF(Customer_Analytics[[#This Row],[Age]]&lt;=40,"36-40","41-45")))</f>
        <v>26-30</v>
      </c>
      <c r="E154" t="s">
        <v>12</v>
      </c>
      <c r="F154" t="s">
        <v>13</v>
      </c>
      <c r="G154" s="2">
        <v>1180.8</v>
      </c>
      <c r="H154">
        <v>16</v>
      </c>
      <c r="I154">
        <v>4.7</v>
      </c>
      <c r="J154" t="b">
        <v>1</v>
      </c>
      <c r="K154">
        <v>19</v>
      </c>
      <c r="L154" t="s">
        <v>14</v>
      </c>
    </row>
    <row r="155" spans="1:12" x14ac:dyDescent="0.35">
      <c r="A155">
        <v>252</v>
      </c>
      <c r="B155" t="s">
        <v>15</v>
      </c>
      <c r="C155">
        <v>34</v>
      </c>
      <c r="D155" t="str">
        <f>IF(Customer_Analytics[[#This Row],[Age]]&lt;=30,"26-30",IF(Customer_Analytics[[#This Row],[Age]]&lt;=35,"31-35",IF(Customer_Analytics[[#This Row],[Age]]&lt;=40,"36-40","41-45")))</f>
        <v>31-35</v>
      </c>
      <c r="E155" t="s">
        <v>16</v>
      </c>
      <c r="F155" t="s">
        <v>17</v>
      </c>
      <c r="G155" s="2">
        <v>790.2</v>
      </c>
      <c r="H155">
        <v>11</v>
      </c>
      <c r="I155">
        <v>4</v>
      </c>
      <c r="J155" t="b">
        <v>0</v>
      </c>
      <c r="K155">
        <v>15</v>
      </c>
      <c r="L155" t="s">
        <v>18</v>
      </c>
    </row>
    <row r="156" spans="1:12" x14ac:dyDescent="0.35">
      <c r="A156">
        <v>253</v>
      </c>
      <c r="B156" t="s">
        <v>11</v>
      </c>
      <c r="C156">
        <v>43</v>
      </c>
      <c r="D156" t="str">
        <f>IF(Customer_Analytics[[#This Row],[Age]]&lt;=30,"26-30",IF(Customer_Analytics[[#This Row],[Age]]&lt;=35,"31-35",IF(Customer_Analytics[[#This Row],[Age]]&lt;=40,"36-40","41-45")))</f>
        <v>41-45</v>
      </c>
      <c r="E156" t="s">
        <v>19</v>
      </c>
      <c r="F156" t="s">
        <v>20</v>
      </c>
      <c r="G156" s="2">
        <v>505.75</v>
      </c>
      <c r="H156">
        <v>10</v>
      </c>
      <c r="I156">
        <v>3.3</v>
      </c>
      <c r="J156" t="b">
        <v>1</v>
      </c>
      <c r="K156">
        <v>39</v>
      </c>
      <c r="L156" t="s">
        <v>21</v>
      </c>
    </row>
    <row r="157" spans="1:12" x14ac:dyDescent="0.35">
      <c r="A157">
        <v>254</v>
      </c>
      <c r="B157" t="s">
        <v>15</v>
      </c>
      <c r="C157">
        <v>30</v>
      </c>
      <c r="D157" t="str">
        <f>IF(Customer_Analytics[[#This Row],[Age]]&lt;=30,"26-30",IF(Customer_Analytics[[#This Row],[Age]]&lt;=35,"31-35",IF(Customer_Analytics[[#This Row],[Age]]&lt;=40,"36-40","41-45")))</f>
        <v>26-30</v>
      </c>
      <c r="E157" t="s">
        <v>22</v>
      </c>
      <c r="F157" t="s">
        <v>13</v>
      </c>
      <c r="G157" s="2">
        <v>1470.5</v>
      </c>
      <c r="H157">
        <v>20</v>
      </c>
      <c r="I157">
        <v>4.8</v>
      </c>
      <c r="J157" t="b">
        <v>0</v>
      </c>
      <c r="K157">
        <v>13</v>
      </c>
      <c r="L157" t="s">
        <v>14</v>
      </c>
    </row>
    <row r="158" spans="1:12" x14ac:dyDescent="0.35">
      <c r="A158">
        <v>255</v>
      </c>
      <c r="B158" t="s">
        <v>15</v>
      </c>
      <c r="C158">
        <v>27</v>
      </c>
      <c r="D158" t="str">
        <f>IF(Customer_Analytics[[#This Row],[Age]]&lt;=30,"26-30",IF(Customer_Analytics[[#This Row],[Age]]&lt;=35,"31-35",IF(Customer_Analytics[[#This Row],[Age]]&lt;=40,"36-40","41-45")))</f>
        <v>26-30</v>
      </c>
      <c r="E158" t="s">
        <v>23</v>
      </c>
      <c r="F158" t="s">
        <v>17</v>
      </c>
      <c r="G158" s="2">
        <v>710.4</v>
      </c>
      <c r="H158">
        <v>13</v>
      </c>
      <c r="I158">
        <v>4.0999999999999996</v>
      </c>
      <c r="J158" t="b">
        <v>1</v>
      </c>
      <c r="K158">
        <v>54</v>
      </c>
      <c r="L158" t="s">
        <v>21</v>
      </c>
    </row>
    <row r="159" spans="1:12" x14ac:dyDescent="0.35">
      <c r="A159">
        <v>256</v>
      </c>
      <c r="B159" t="s">
        <v>11</v>
      </c>
      <c r="C159">
        <v>37</v>
      </c>
      <c r="D159" t="str">
        <f>IF(Customer_Analytics[[#This Row],[Age]]&lt;=30,"26-30",IF(Customer_Analytics[[#This Row],[Age]]&lt;=35,"31-35",IF(Customer_Analytics[[#This Row],[Age]]&lt;=40,"36-40","41-45")))</f>
        <v>36-40</v>
      </c>
      <c r="E159" t="s">
        <v>24</v>
      </c>
      <c r="F159" t="s">
        <v>20</v>
      </c>
      <c r="G159" s="2">
        <v>430.8</v>
      </c>
      <c r="H159">
        <v>7</v>
      </c>
      <c r="I159">
        <v>3.4</v>
      </c>
      <c r="J159" t="b">
        <v>0</v>
      </c>
      <c r="K159">
        <v>23</v>
      </c>
      <c r="L159" t="s">
        <v>18</v>
      </c>
    </row>
    <row r="160" spans="1:12" x14ac:dyDescent="0.35">
      <c r="A160">
        <v>257</v>
      </c>
      <c r="B160" t="s">
        <v>11</v>
      </c>
      <c r="C160">
        <v>31</v>
      </c>
      <c r="D160" t="str">
        <f>IF(Customer_Analytics[[#This Row],[Age]]&lt;=30,"26-30",IF(Customer_Analytics[[#This Row],[Age]]&lt;=35,"31-35",IF(Customer_Analytics[[#This Row],[Age]]&lt;=40,"36-40","41-45")))</f>
        <v>31-35</v>
      </c>
      <c r="E160" t="s">
        <v>12</v>
      </c>
      <c r="F160" t="s">
        <v>13</v>
      </c>
      <c r="G160" s="2">
        <v>1140.5999999999999</v>
      </c>
      <c r="H160">
        <v>15</v>
      </c>
      <c r="I160">
        <v>4.5999999999999996</v>
      </c>
      <c r="J160" t="b">
        <v>1</v>
      </c>
      <c r="K160">
        <v>27</v>
      </c>
      <c r="L160" t="s">
        <v>14</v>
      </c>
    </row>
    <row r="161" spans="1:12" x14ac:dyDescent="0.35">
      <c r="A161">
        <v>258</v>
      </c>
      <c r="B161" t="s">
        <v>15</v>
      </c>
      <c r="C161">
        <v>35</v>
      </c>
      <c r="D161" t="str">
        <f>IF(Customer_Analytics[[#This Row],[Age]]&lt;=30,"26-30",IF(Customer_Analytics[[#This Row],[Age]]&lt;=35,"31-35",IF(Customer_Analytics[[#This Row],[Age]]&lt;=40,"36-40","41-45")))</f>
        <v>31-35</v>
      </c>
      <c r="E161" t="s">
        <v>16</v>
      </c>
      <c r="F161" t="s">
        <v>17</v>
      </c>
      <c r="G161" s="2">
        <v>810.9</v>
      </c>
      <c r="H161">
        <v>12</v>
      </c>
      <c r="I161">
        <v>4.3</v>
      </c>
      <c r="J161" t="b">
        <v>0</v>
      </c>
      <c r="K161">
        <v>13</v>
      </c>
      <c r="L161" t="s">
        <v>18</v>
      </c>
    </row>
    <row r="162" spans="1:12" x14ac:dyDescent="0.35">
      <c r="A162">
        <v>259</v>
      </c>
      <c r="B162" t="s">
        <v>11</v>
      </c>
      <c r="C162">
        <v>41</v>
      </c>
      <c r="D162" t="str">
        <f>IF(Customer_Analytics[[#This Row],[Age]]&lt;=30,"26-30",IF(Customer_Analytics[[#This Row],[Age]]&lt;=35,"31-35",IF(Customer_Analytics[[#This Row],[Age]]&lt;=40,"36-40","41-45")))</f>
        <v>41-45</v>
      </c>
      <c r="E162" t="s">
        <v>19</v>
      </c>
      <c r="F162" t="s">
        <v>20</v>
      </c>
      <c r="G162" s="2">
        <v>485.25</v>
      </c>
      <c r="H162">
        <v>9</v>
      </c>
      <c r="I162">
        <v>3.6</v>
      </c>
      <c r="J162" t="b">
        <v>1</v>
      </c>
      <c r="K162">
        <v>39</v>
      </c>
      <c r="L162" t="s">
        <v>21</v>
      </c>
    </row>
    <row r="163" spans="1:12" x14ac:dyDescent="0.35">
      <c r="A163">
        <v>260</v>
      </c>
      <c r="B163" t="s">
        <v>15</v>
      </c>
      <c r="C163">
        <v>28</v>
      </c>
      <c r="D163" t="str">
        <f>IF(Customer_Analytics[[#This Row],[Age]]&lt;=30,"26-30",IF(Customer_Analytics[[#This Row],[Age]]&lt;=35,"31-35",IF(Customer_Analytics[[#This Row],[Age]]&lt;=40,"36-40","41-45")))</f>
        <v>26-30</v>
      </c>
      <c r="E163" t="s">
        <v>22</v>
      </c>
      <c r="F163" t="s">
        <v>13</v>
      </c>
      <c r="G163" s="2">
        <v>1500.1</v>
      </c>
      <c r="H163">
        <v>21</v>
      </c>
      <c r="I163">
        <v>4.9000000000000004</v>
      </c>
      <c r="J163" t="b">
        <v>0</v>
      </c>
      <c r="K163">
        <v>10</v>
      </c>
      <c r="L163" t="s">
        <v>14</v>
      </c>
    </row>
    <row r="164" spans="1:12" x14ac:dyDescent="0.35">
      <c r="A164">
        <v>261</v>
      </c>
      <c r="B164" t="s">
        <v>15</v>
      </c>
      <c r="C164">
        <v>32</v>
      </c>
      <c r="D164" t="str">
        <f>IF(Customer_Analytics[[#This Row],[Age]]&lt;=30,"26-30",IF(Customer_Analytics[[#This Row],[Age]]&lt;=35,"31-35",IF(Customer_Analytics[[#This Row],[Age]]&lt;=40,"36-40","41-45")))</f>
        <v>31-35</v>
      </c>
      <c r="E164" t="s">
        <v>23</v>
      </c>
      <c r="F164" t="s">
        <v>17</v>
      </c>
      <c r="G164" s="2">
        <v>670.3</v>
      </c>
      <c r="H164">
        <v>10</v>
      </c>
      <c r="I164">
        <v>3.8</v>
      </c>
      <c r="J164" t="b">
        <v>1</v>
      </c>
      <c r="K164">
        <v>33</v>
      </c>
      <c r="L164" t="s">
        <v>21</v>
      </c>
    </row>
    <row r="165" spans="1:12" x14ac:dyDescent="0.35">
      <c r="A165">
        <v>262</v>
      </c>
      <c r="B165" t="s">
        <v>11</v>
      </c>
      <c r="C165">
        <v>36</v>
      </c>
      <c r="D165" t="str">
        <f>IF(Customer_Analytics[[#This Row],[Age]]&lt;=30,"26-30",IF(Customer_Analytics[[#This Row],[Age]]&lt;=35,"31-35",IF(Customer_Analytics[[#This Row],[Age]]&lt;=40,"36-40","41-45")))</f>
        <v>36-40</v>
      </c>
      <c r="E165" t="s">
        <v>24</v>
      </c>
      <c r="F165" t="s">
        <v>20</v>
      </c>
      <c r="G165" s="2">
        <v>460.5</v>
      </c>
      <c r="H165">
        <v>8</v>
      </c>
      <c r="I165">
        <v>3.1</v>
      </c>
      <c r="J165" t="b">
        <v>0</v>
      </c>
      <c r="K165">
        <v>19</v>
      </c>
      <c r="L165" t="s">
        <v>18</v>
      </c>
    </row>
    <row r="166" spans="1:12" x14ac:dyDescent="0.35">
      <c r="A166">
        <v>263</v>
      </c>
      <c r="B166" t="s">
        <v>11</v>
      </c>
      <c r="C166">
        <v>30</v>
      </c>
      <c r="D166" t="str">
        <f>IF(Customer_Analytics[[#This Row],[Age]]&lt;=30,"26-30",IF(Customer_Analytics[[#This Row],[Age]]&lt;=35,"31-35",IF(Customer_Analytics[[#This Row],[Age]]&lt;=40,"36-40","41-45")))</f>
        <v>26-30</v>
      </c>
      <c r="E166" t="s">
        <v>12</v>
      </c>
      <c r="F166" t="s">
        <v>13</v>
      </c>
      <c r="G166" s="2">
        <v>1190.8</v>
      </c>
      <c r="H166">
        <v>16</v>
      </c>
      <c r="I166">
        <v>4.5</v>
      </c>
      <c r="J166" t="b">
        <v>1</v>
      </c>
      <c r="K166">
        <v>20</v>
      </c>
      <c r="L166" t="s">
        <v>14</v>
      </c>
    </row>
    <row r="167" spans="1:12" x14ac:dyDescent="0.35">
      <c r="A167">
        <v>264</v>
      </c>
      <c r="B167" t="s">
        <v>15</v>
      </c>
      <c r="C167">
        <v>33</v>
      </c>
      <c r="D167" t="str">
        <f>IF(Customer_Analytics[[#This Row],[Age]]&lt;=30,"26-30",IF(Customer_Analytics[[#This Row],[Age]]&lt;=35,"31-35",IF(Customer_Analytics[[#This Row],[Age]]&lt;=40,"36-40","41-45")))</f>
        <v>31-35</v>
      </c>
      <c r="E167" t="s">
        <v>16</v>
      </c>
      <c r="F167" t="s">
        <v>17</v>
      </c>
      <c r="G167" s="2">
        <v>830.75</v>
      </c>
      <c r="H167">
        <v>13</v>
      </c>
      <c r="I167">
        <v>4.2</v>
      </c>
      <c r="J167" t="b">
        <v>0</v>
      </c>
      <c r="K167">
        <v>14</v>
      </c>
      <c r="L167" t="s">
        <v>14</v>
      </c>
    </row>
    <row r="168" spans="1:12" x14ac:dyDescent="0.35">
      <c r="A168">
        <v>265</v>
      </c>
      <c r="B168" t="s">
        <v>11</v>
      </c>
      <c r="C168">
        <v>42</v>
      </c>
      <c r="D168" t="str">
        <f>IF(Customer_Analytics[[#This Row],[Age]]&lt;=30,"26-30",IF(Customer_Analytics[[#This Row],[Age]]&lt;=35,"31-35",IF(Customer_Analytics[[#This Row],[Age]]&lt;=40,"36-40","41-45")))</f>
        <v>41-45</v>
      </c>
      <c r="E168" t="s">
        <v>19</v>
      </c>
      <c r="F168" t="s">
        <v>20</v>
      </c>
      <c r="G168" s="2">
        <v>520.4</v>
      </c>
      <c r="H168">
        <v>9</v>
      </c>
      <c r="I168">
        <v>3.5</v>
      </c>
      <c r="J168" t="b">
        <v>1</v>
      </c>
      <c r="K168">
        <v>37</v>
      </c>
      <c r="L168" t="s">
        <v>21</v>
      </c>
    </row>
    <row r="169" spans="1:12" x14ac:dyDescent="0.35">
      <c r="A169">
        <v>266</v>
      </c>
      <c r="B169" t="s">
        <v>15</v>
      </c>
      <c r="C169">
        <v>29</v>
      </c>
      <c r="D169" t="str">
        <f>IF(Customer_Analytics[[#This Row],[Age]]&lt;=30,"26-30",IF(Customer_Analytics[[#This Row],[Age]]&lt;=35,"31-35",IF(Customer_Analytics[[#This Row],[Age]]&lt;=40,"36-40","41-45")))</f>
        <v>26-30</v>
      </c>
      <c r="E169" t="s">
        <v>22</v>
      </c>
      <c r="F169" t="s">
        <v>13</v>
      </c>
      <c r="G169" s="2">
        <v>1370.2</v>
      </c>
      <c r="H169">
        <v>18</v>
      </c>
      <c r="I169">
        <v>4.7</v>
      </c>
      <c r="J169" t="b">
        <v>0</v>
      </c>
      <c r="K169">
        <v>10</v>
      </c>
      <c r="L169" t="s">
        <v>14</v>
      </c>
    </row>
    <row r="170" spans="1:12" x14ac:dyDescent="0.35">
      <c r="A170">
        <v>267</v>
      </c>
      <c r="B170" t="s">
        <v>15</v>
      </c>
      <c r="C170">
        <v>26</v>
      </c>
      <c r="D170" t="str">
        <f>IF(Customer_Analytics[[#This Row],[Age]]&lt;=30,"26-30",IF(Customer_Analytics[[#This Row],[Age]]&lt;=35,"31-35",IF(Customer_Analytics[[#This Row],[Age]]&lt;=40,"36-40","41-45")))</f>
        <v>26-30</v>
      </c>
      <c r="E170" t="s">
        <v>23</v>
      </c>
      <c r="F170" t="s">
        <v>17</v>
      </c>
      <c r="G170" s="2">
        <v>690.6</v>
      </c>
      <c r="H170">
        <v>12</v>
      </c>
      <c r="I170">
        <v>3.9</v>
      </c>
      <c r="J170" t="b">
        <v>1</v>
      </c>
      <c r="K170">
        <v>47</v>
      </c>
      <c r="L170" t="s">
        <v>21</v>
      </c>
    </row>
    <row r="171" spans="1:12" x14ac:dyDescent="0.35">
      <c r="A171">
        <v>268</v>
      </c>
      <c r="B171" t="s">
        <v>11</v>
      </c>
      <c r="C171">
        <v>38</v>
      </c>
      <c r="D171" t="str">
        <f>IF(Customer_Analytics[[#This Row],[Age]]&lt;=30,"26-30",IF(Customer_Analytics[[#This Row],[Age]]&lt;=35,"31-35",IF(Customer_Analytics[[#This Row],[Age]]&lt;=40,"36-40","41-45")))</f>
        <v>36-40</v>
      </c>
      <c r="E171" t="s">
        <v>24</v>
      </c>
      <c r="F171" t="s">
        <v>20</v>
      </c>
      <c r="G171" s="2">
        <v>440.9</v>
      </c>
      <c r="H171">
        <v>8</v>
      </c>
      <c r="I171">
        <v>3.2</v>
      </c>
      <c r="J171" t="b">
        <v>0</v>
      </c>
      <c r="K171">
        <v>24</v>
      </c>
      <c r="L171" t="s">
        <v>18</v>
      </c>
    </row>
    <row r="172" spans="1:12" x14ac:dyDescent="0.35">
      <c r="A172">
        <v>269</v>
      </c>
      <c r="B172" t="s">
        <v>11</v>
      </c>
      <c r="C172">
        <v>32</v>
      </c>
      <c r="D172" t="str">
        <f>IF(Customer_Analytics[[#This Row],[Age]]&lt;=30,"26-30",IF(Customer_Analytics[[#This Row],[Age]]&lt;=35,"31-35",IF(Customer_Analytics[[#This Row],[Age]]&lt;=40,"36-40","41-45")))</f>
        <v>31-35</v>
      </c>
      <c r="E172" t="s">
        <v>12</v>
      </c>
      <c r="F172" t="s">
        <v>13</v>
      </c>
      <c r="G172" s="2">
        <v>1160.3</v>
      </c>
      <c r="H172">
        <v>14</v>
      </c>
      <c r="I172">
        <v>4.4000000000000004</v>
      </c>
      <c r="J172" t="b">
        <v>1</v>
      </c>
      <c r="K172">
        <v>22</v>
      </c>
      <c r="L172" t="s">
        <v>14</v>
      </c>
    </row>
    <row r="173" spans="1:12" x14ac:dyDescent="0.35">
      <c r="A173">
        <v>270</v>
      </c>
      <c r="B173" t="s">
        <v>15</v>
      </c>
      <c r="C173">
        <v>34</v>
      </c>
      <c r="D173" t="str">
        <f>IF(Customer_Analytics[[#This Row],[Age]]&lt;=30,"26-30",IF(Customer_Analytics[[#This Row],[Age]]&lt;=35,"31-35",IF(Customer_Analytics[[#This Row],[Age]]&lt;=40,"36-40","41-45")))</f>
        <v>31-35</v>
      </c>
      <c r="E173" t="s">
        <v>16</v>
      </c>
      <c r="F173" t="s">
        <v>17</v>
      </c>
      <c r="G173" s="2">
        <v>800.2</v>
      </c>
      <c r="H173">
        <v>11</v>
      </c>
      <c r="I173">
        <v>4.0999999999999996</v>
      </c>
      <c r="J173" t="b">
        <v>0</v>
      </c>
      <c r="K173">
        <v>17</v>
      </c>
      <c r="L173" t="s">
        <v>18</v>
      </c>
    </row>
    <row r="174" spans="1:12" x14ac:dyDescent="0.35">
      <c r="A174">
        <v>271</v>
      </c>
      <c r="B174" t="s">
        <v>11</v>
      </c>
      <c r="C174">
        <v>43</v>
      </c>
      <c r="D174" t="str">
        <f>IF(Customer_Analytics[[#This Row],[Age]]&lt;=30,"26-30",IF(Customer_Analytics[[#This Row],[Age]]&lt;=35,"31-35",IF(Customer_Analytics[[#This Row],[Age]]&lt;=40,"36-40","41-45")))</f>
        <v>41-45</v>
      </c>
      <c r="E174" t="s">
        <v>19</v>
      </c>
      <c r="F174" t="s">
        <v>20</v>
      </c>
      <c r="G174" s="2">
        <v>500.75</v>
      </c>
      <c r="H174">
        <v>10</v>
      </c>
      <c r="I174">
        <v>3.3</v>
      </c>
      <c r="J174" t="b">
        <v>1</v>
      </c>
      <c r="K174">
        <v>40</v>
      </c>
      <c r="L174" t="s">
        <v>21</v>
      </c>
    </row>
    <row r="175" spans="1:12" x14ac:dyDescent="0.35">
      <c r="A175">
        <v>272</v>
      </c>
      <c r="B175" t="s">
        <v>15</v>
      </c>
      <c r="C175">
        <v>30</v>
      </c>
      <c r="D175" t="str">
        <f>IF(Customer_Analytics[[#This Row],[Age]]&lt;=30,"26-30",IF(Customer_Analytics[[#This Row],[Age]]&lt;=35,"31-35",IF(Customer_Analytics[[#This Row],[Age]]&lt;=40,"36-40","41-45")))</f>
        <v>26-30</v>
      </c>
      <c r="E175" t="s">
        <v>22</v>
      </c>
      <c r="F175" t="s">
        <v>13</v>
      </c>
      <c r="G175" s="2">
        <v>1460.5</v>
      </c>
      <c r="H175">
        <v>20</v>
      </c>
      <c r="I175">
        <v>4.8</v>
      </c>
      <c r="J175" t="b">
        <v>0</v>
      </c>
      <c r="K175">
        <v>12</v>
      </c>
      <c r="L175" t="s">
        <v>14</v>
      </c>
    </row>
    <row r="176" spans="1:12" x14ac:dyDescent="0.35">
      <c r="A176">
        <v>273</v>
      </c>
      <c r="B176" t="s">
        <v>15</v>
      </c>
      <c r="C176">
        <v>27</v>
      </c>
      <c r="D176" t="str">
        <f>IF(Customer_Analytics[[#This Row],[Age]]&lt;=30,"26-30",IF(Customer_Analytics[[#This Row],[Age]]&lt;=35,"31-35",IF(Customer_Analytics[[#This Row],[Age]]&lt;=40,"36-40","41-45")))</f>
        <v>26-30</v>
      </c>
      <c r="E176" t="s">
        <v>23</v>
      </c>
      <c r="F176" t="s">
        <v>17</v>
      </c>
      <c r="G176" s="2">
        <v>700.4</v>
      </c>
      <c r="H176">
        <v>13</v>
      </c>
      <c r="I176">
        <v>4</v>
      </c>
      <c r="J176" t="b">
        <v>1</v>
      </c>
      <c r="K176">
        <v>53</v>
      </c>
      <c r="L176" t="s">
        <v>21</v>
      </c>
    </row>
    <row r="177" spans="1:12" x14ac:dyDescent="0.35">
      <c r="A177">
        <v>274</v>
      </c>
      <c r="B177" t="s">
        <v>11</v>
      </c>
      <c r="C177">
        <v>37</v>
      </c>
      <c r="D177" t="str">
        <f>IF(Customer_Analytics[[#This Row],[Age]]&lt;=30,"26-30",IF(Customer_Analytics[[#This Row],[Age]]&lt;=35,"31-35",IF(Customer_Analytics[[#This Row],[Age]]&lt;=40,"36-40","41-45")))</f>
        <v>36-40</v>
      </c>
      <c r="E177" t="s">
        <v>24</v>
      </c>
      <c r="F177" t="s">
        <v>20</v>
      </c>
      <c r="G177" s="2">
        <v>430.8</v>
      </c>
      <c r="H177">
        <v>7</v>
      </c>
      <c r="I177">
        <v>3.4</v>
      </c>
      <c r="J177" t="b">
        <v>0</v>
      </c>
      <c r="K177">
        <v>23</v>
      </c>
      <c r="L177" t="s">
        <v>18</v>
      </c>
    </row>
    <row r="178" spans="1:12" x14ac:dyDescent="0.35">
      <c r="A178">
        <v>275</v>
      </c>
      <c r="B178" t="s">
        <v>11</v>
      </c>
      <c r="C178">
        <v>31</v>
      </c>
      <c r="D178" t="str">
        <f>IF(Customer_Analytics[[#This Row],[Age]]&lt;=30,"26-30",IF(Customer_Analytics[[#This Row],[Age]]&lt;=35,"31-35",IF(Customer_Analytics[[#This Row],[Age]]&lt;=40,"36-40","41-45")))</f>
        <v>31-35</v>
      </c>
      <c r="E178" t="s">
        <v>12</v>
      </c>
      <c r="F178" t="s">
        <v>13</v>
      </c>
      <c r="G178" s="2">
        <v>1140.5999999999999</v>
      </c>
      <c r="H178">
        <v>15</v>
      </c>
      <c r="I178">
        <v>4.5</v>
      </c>
      <c r="J178" t="b">
        <v>1</v>
      </c>
      <c r="K178">
        <v>27</v>
      </c>
      <c r="L178" t="s">
        <v>14</v>
      </c>
    </row>
    <row r="179" spans="1:12" x14ac:dyDescent="0.35">
      <c r="A179">
        <v>276</v>
      </c>
      <c r="B179" t="s">
        <v>15</v>
      </c>
      <c r="C179">
        <v>35</v>
      </c>
      <c r="D179" t="str">
        <f>IF(Customer_Analytics[[#This Row],[Age]]&lt;=30,"26-30",IF(Customer_Analytics[[#This Row],[Age]]&lt;=35,"31-35",IF(Customer_Analytics[[#This Row],[Age]]&lt;=40,"36-40","41-45")))</f>
        <v>31-35</v>
      </c>
      <c r="E179" t="s">
        <v>16</v>
      </c>
      <c r="F179" t="s">
        <v>17</v>
      </c>
      <c r="G179" s="2">
        <v>820.9</v>
      </c>
      <c r="H179">
        <v>12</v>
      </c>
      <c r="I179">
        <v>4.3</v>
      </c>
      <c r="J179" t="b">
        <v>0</v>
      </c>
      <c r="K179">
        <v>12</v>
      </c>
      <c r="L179" t="s">
        <v>18</v>
      </c>
    </row>
    <row r="180" spans="1:12" x14ac:dyDescent="0.35">
      <c r="A180">
        <v>277</v>
      </c>
      <c r="B180" t="s">
        <v>11</v>
      </c>
      <c r="C180">
        <v>41</v>
      </c>
      <c r="D180" t="str">
        <f>IF(Customer_Analytics[[#This Row],[Age]]&lt;=30,"26-30",IF(Customer_Analytics[[#This Row],[Age]]&lt;=35,"31-35",IF(Customer_Analytics[[#This Row],[Age]]&lt;=40,"36-40","41-45")))</f>
        <v>41-45</v>
      </c>
      <c r="E180" t="s">
        <v>19</v>
      </c>
      <c r="F180" t="s">
        <v>20</v>
      </c>
      <c r="G180" s="2">
        <v>480.25</v>
      </c>
      <c r="H180">
        <v>9</v>
      </c>
      <c r="I180">
        <v>3.6</v>
      </c>
      <c r="J180" t="b">
        <v>1</v>
      </c>
      <c r="K180">
        <v>38</v>
      </c>
      <c r="L180" t="s">
        <v>21</v>
      </c>
    </row>
    <row r="181" spans="1:12" x14ac:dyDescent="0.35">
      <c r="A181">
        <v>278</v>
      </c>
      <c r="B181" t="s">
        <v>15</v>
      </c>
      <c r="C181">
        <v>28</v>
      </c>
      <c r="D181" t="str">
        <f>IF(Customer_Analytics[[#This Row],[Age]]&lt;=30,"26-30",IF(Customer_Analytics[[#This Row],[Age]]&lt;=35,"31-35",IF(Customer_Analytics[[#This Row],[Age]]&lt;=40,"36-40","41-45")))</f>
        <v>26-30</v>
      </c>
      <c r="E181" t="s">
        <v>22</v>
      </c>
      <c r="F181" t="s">
        <v>13</v>
      </c>
      <c r="G181" s="2">
        <v>1490.1</v>
      </c>
      <c r="H181">
        <v>21</v>
      </c>
      <c r="I181">
        <v>4.9000000000000004</v>
      </c>
      <c r="J181" t="b">
        <v>0</v>
      </c>
      <c r="K181">
        <v>9</v>
      </c>
      <c r="L181" t="s">
        <v>14</v>
      </c>
    </row>
    <row r="182" spans="1:12" x14ac:dyDescent="0.35">
      <c r="A182">
        <v>279</v>
      </c>
      <c r="B182" t="s">
        <v>15</v>
      </c>
      <c r="C182">
        <v>32</v>
      </c>
      <c r="D182" t="str">
        <f>IF(Customer_Analytics[[#This Row],[Age]]&lt;=30,"26-30",IF(Customer_Analytics[[#This Row],[Age]]&lt;=35,"31-35",IF(Customer_Analytics[[#This Row],[Age]]&lt;=40,"36-40","41-45")))</f>
        <v>31-35</v>
      </c>
      <c r="E182" t="s">
        <v>23</v>
      </c>
      <c r="F182" t="s">
        <v>17</v>
      </c>
      <c r="G182" s="2">
        <v>680.3</v>
      </c>
      <c r="H182">
        <v>10</v>
      </c>
      <c r="I182">
        <v>3.8</v>
      </c>
      <c r="J182" t="b">
        <v>1</v>
      </c>
      <c r="K182">
        <v>32</v>
      </c>
      <c r="L182" t="s">
        <v>21</v>
      </c>
    </row>
    <row r="183" spans="1:12" x14ac:dyDescent="0.35">
      <c r="A183">
        <v>280</v>
      </c>
      <c r="B183" t="s">
        <v>11</v>
      </c>
      <c r="C183">
        <v>36</v>
      </c>
      <c r="D183" t="str">
        <f>IF(Customer_Analytics[[#This Row],[Age]]&lt;=30,"26-30",IF(Customer_Analytics[[#This Row],[Age]]&lt;=35,"31-35",IF(Customer_Analytics[[#This Row],[Age]]&lt;=40,"36-40","41-45")))</f>
        <v>36-40</v>
      </c>
      <c r="E183" t="s">
        <v>24</v>
      </c>
      <c r="F183" t="s">
        <v>20</v>
      </c>
      <c r="G183" s="2">
        <v>470.5</v>
      </c>
      <c r="H183">
        <v>8</v>
      </c>
      <c r="I183">
        <v>3</v>
      </c>
      <c r="J183" t="b">
        <v>0</v>
      </c>
      <c r="K183">
        <v>18</v>
      </c>
      <c r="L183" t="s">
        <v>18</v>
      </c>
    </row>
    <row r="184" spans="1:12" x14ac:dyDescent="0.35">
      <c r="A184">
        <v>281</v>
      </c>
      <c r="B184" t="s">
        <v>11</v>
      </c>
      <c r="C184">
        <v>30</v>
      </c>
      <c r="D184" t="str">
        <f>IF(Customer_Analytics[[#This Row],[Age]]&lt;=30,"26-30",IF(Customer_Analytics[[#This Row],[Age]]&lt;=35,"31-35",IF(Customer_Analytics[[#This Row],[Age]]&lt;=40,"36-40","41-45")))</f>
        <v>26-30</v>
      </c>
      <c r="E184" t="s">
        <v>12</v>
      </c>
      <c r="F184" t="s">
        <v>13</v>
      </c>
      <c r="G184" s="2">
        <v>1180.8</v>
      </c>
      <c r="H184">
        <v>16</v>
      </c>
      <c r="I184">
        <v>4.7</v>
      </c>
      <c r="J184" t="b">
        <v>1</v>
      </c>
      <c r="K184">
        <v>19</v>
      </c>
      <c r="L184" t="s">
        <v>14</v>
      </c>
    </row>
    <row r="185" spans="1:12" x14ac:dyDescent="0.35">
      <c r="A185">
        <v>282</v>
      </c>
      <c r="B185" t="s">
        <v>15</v>
      </c>
      <c r="C185">
        <v>34</v>
      </c>
      <c r="D185" t="str">
        <f>IF(Customer_Analytics[[#This Row],[Age]]&lt;=30,"26-30",IF(Customer_Analytics[[#This Row],[Age]]&lt;=35,"31-35",IF(Customer_Analytics[[#This Row],[Age]]&lt;=40,"36-40","41-45")))</f>
        <v>31-35</v>
      </c>
      <c r="E185" t="s">
        <v>16</v>
      </c>
      <c r="F185" t="s">
        <v>17</v>
      </c>
      <c r="G185" s="2">
        <v>790.2</v>
      </c>
      <c r="H185">
        <v>11</v>
      </c>
      <c r="I185">
        <v>4</v>
      </c>
      <c r="J185" t="b">
        <v>0</v>
      </c>
      <c r="K185">
        <v>15</v>
      </c>
      <c r="L185" t="s">
        <v>18</v>
      </c>
    </row>
    <row r="186" spans="1:12" x14ac:dyDescent="0.35">
      <c r="A186">
        <v>283</v>
      </c>
      <c r="B186" t="s">
        <v>11</v>
      </c>
      <c r="C186">
        <v>43</v>
      </c>
      <c r="D186" t="str">
        <f>IF(Customer_Analytics[[#This Row],[Age]]&lt;=30,"26-30",IF(Customer_Analytics[[#This Row],[Age]]&lt;=35,"31-35",IF(Customer_Analytics[[#This Row],[Age]]&lt;=40,"36-40","41-45")))</f>
        <v>41-45</v>
      </c>
      <c r="E186" t="s">
        <v>19</v>
      </c>
      <c r="F186" t="s">
        <v>20</v>
      </c>
      <c r="G186" s="2">
        <v>505.75</v>
      </c>
      <c r="H186">
        <v>10</v>
      </c>
      <c r="I186">
        <v>3.3</v>
      </c>
      <c r="J186" t="b">
        <v>1</v>
      </c>
      <c r="K186">
        <v>39</v>
      </c>
      <c r="L186" t="s">
        <v>21</v>
      </c>
    </row>
    <row r="187" spans="1:12" x14ac:dyDescent="0.35">
      <c r="A187">
        <v>284</v>
      </c>
      <c r="B187" t="s">
        <v>15</v>
      </c>
      <c r="C187">
        <v>30</v>
      </c>
      <c r="D187" t="str">
        <f>IF(Customer_Analytics[[#This Row],[Age]]&lt;=30,"26-30",IF(Customer_Analytics[[#This Row],[Age]]&lt;=35,"31-35",IF(Customer_Analytics[[#This Row],[Age]]&lt;=40,"36-40","41-45")))</f>
        <v>26-30</v>
      </c>
      <c r="E187" t="s">
        <v>22</v>
      </c>
      <c r="F187" t="s">
        <v>13</v>
      </c>
      <c r="G187" s="2">
        <v>1470.5</v>
      </c>
      <c r="H187">
        <v>20</v>
      </c>
      <c r="I187">
        <v>4.8</v>
      </c>
      <c r="J187" t="b">
        <v>0</v>
      </c>
      <c r="K187">
        <v>13</v>
      </c>
      <c r="L187" t="s">
        <v>14</v>
      </c>
    </row>
    <row r="188" spans="1:12" x14ac:dyDescent="0.35">
      <c r="A188">
        <v>285</v>
      </c>
      <c r="B188" t="s">
        <v>15</v>
      </c>
      <c r="C188">
        <v>27</v>
      </c>
      <c r="D188" t="str">
        <f>IF(Customer_Analytics[[#This Row],[Age]]&lt;=30,"26-30",IF(Customer_Analytics[[#This Row],[Age]]&lt;=35,"31-35",IF(Customer_Analytics[[#This Row],[Age]]&lt;=40,"36-40","41-45")))</f>
        <v>26-30</v>
      </c>
      <c r="E188" t="s">
        <v>23</v>
      </c>
      <c r="F188" t="s">
        <v>17</v>
      </c>
      <c r="G188" s="2">
        <v>710.4</v>
      </c>
      <c r="H188">
        <v>13</v>
      </c>
      <c r="I188">
        <v>4.0999999999999996</v>
      </c>
      <c r="J188" t="b">
        <v>1</v>
      </c>
      <c r="K188">
        <v>54</v>
      </c>
      <c r="L188" t="s">
        <v>21</v>
      </c>
    </row>
    <row r="189" spans="1:12" x14ac:dyDescent="0.35">
      <c r="A189">
        <v>286</v>
      </c>
      <c r="B189" t="s">
        <v>11</v>
      </c>
      <c r="C189">
        <v>37</v>
      </c>
      <c r="D189" t="str">
        <f>IF(Customer_Analytics[[#This Row],[Age]]&lt;=30,"26-30",IF(Customer_Analytics[[#This Row],[Age]]&lt;=35,"31-35",IF(Customer_Analytics[[#This Row],[Age]]&lt;=40,"36-40","41-45")))</f>
        <v>36-40</v>
      </c>
      <c r="E189" t="s">
        <v>24</v>
      </c>
      <c r="F189" t="s">
        <v>20</v>
      </c>
      <c r="G189" s="2">
        <v>430.8</v>
      </c>
      <c r="H189">
        <v>7</v>
      </c>
      <c r="I189">
        <v>3.4</v>
      </c>
      <c r="J189" t="b">
        <v>0</v>
      </c>
      <c r="K189">
        <v>23</v>
      </c>
      <c r="L189" t="s">
        <v>18</v>
      </c>
    </row>
    <row r="190" spans="1:12" x14ac:dyDescent="0.35">
      <c r="A190">
        <v>287</v>
      </c>
      <c r="B190" t="s">
        <v>11</v>
      </c>
      <c r="C190">
        <v>31</v>
      </c>
      <c r="D190" t="str">
        <f>IF(Customer_Analytics[[#This Row],[Age]]&lt;=30,"26-30",IF(Customer_Analytics[[#This Row],[Age]]&lt;=35,"31-35",IF(Customer_Analytics[[#This Row],[Age]]&lt;=40,"36-40","41-45")))</f>
        <v>31-35</v>
      </c>
      <c r="E190" t="s">
        <v>12</v>
      </c>
      <c r="F190" t="s">
        <v>13</v>
      </c>
      <c r="G190" s="2">
        <v>1130.5999999999999</v>
      </c>
      <c r="H190">
        <v>15</v>
      </c>
      <c r="I190">
        <v>4.5</v>
      </c>
      <c r="J190" t="b">
        <v>1</v>
      </c>
      <c r="K190">
        <v>26</v>
      </c>
      <c r="L190" t="s">
        <v>14</v>
      </c>
    </row>
    <row r="191" spans="1:12" x14ac:dyDescent="0.35">
      <c r="A191">
        <v>288</v>
      </c>
      <c r="B191" t="s">
        <v>15</v>
      </c>
      <c r="C191">
        <v>35</v>
      </c>
      <c r="D191" t="str">
        <f>IF(Customer_Analytics[[#This Row],[Age]]&lt;=30,"26-30",IF(Customer_Analytics[[#This Row],[Age]]&lt;=35,"31-35",IF(Customer_Analytics[[#This Row],[Age]]&lt;=40,"36-40","41-45")))</f>
        <v>31-35</v>
      </c>
      <c r="E191" t="s">
        <v>16</v>
      </c>
      <c r="F191" t="s">
        <v>17</v>
      </c>
      <c r="G191" s="2">
        <v>820.9</v>
      </c>
      <c r="H191">
        <v>12</v>
      </c>
      <c r="I191">
        <v>4.3</v>
      </c>
      <c r="J191" t="b">
        <v>0</v>
      </c>
      <c r="K191">
        <v>13</v>
      </c>
      <c r="L191" t="s">
        <v>18</v>
      </c>
    </row>
    <row r="192" spans="1:12" x14ac:dyDescent="0.35">
      <c r="A192">
        <v>289</v>
      </c>
      <c r="B192" t="s">
        <v>11</v>
      </c>
      <c r="C192">
        <v>41</v>
      </c>
      <c r="D192" t="str">
        <f>IF(Customer_Analytics[[#This Row],[Age]]&lt;=30,"26-30",IF(Customer_Analytics[[#This Row],[Age]]&lt;=35,"31-35",IF(Customer_Analytics[[#This Row],[Age]]&lt;=40,"36-40","41-45")))</f>
        <v>41-45</v>
      </c>
      <c r="E192" t="s">
        <v>19</v>
      </c>
      <c r="F192" t="s">
        <v>20</v>
      </c>
      <c r="G192" s="2">
        <v>485.25</v>
      </c>
      <c r="H192">
        <v>9</v>
      </c>
      <c r="I192">
        <v>3.6</v>
      </c>
      <c r="J192" t="b">
        <v>1</v>
      </c>
      <c r="K192">
        <v>39</v>
      </c>
      <c r="L192" t="s">
        <v>21</v>
      </c>
    </row>
    <row r="193" spans="1:12" x14ac:dyDescent="0.35">
      <c r="A193">
        <v>290</v>
      </c>
      <c r="B193" t="s">
        <v>15</v>
      </c>
      <c r="C193">
        <v>28</v>
      </c>
      <c r="D193" t="str">
        <f>IF(Customer_Analytics[[#This Row],[Age]]&lt;=30,"26-30",IF(Customer_Analytics[[#This Row],[Age]]&lt;=35,"31-35",IF(Customer_Analytics[[#This Row],[Age]]&lt;=40,"36-40","41-45")))</f>
        <v>26-30</v>
      </c>
      <c r="E193" t="s">
        <v>22</v>
      </c>
      <c r="F193" t="s">
        <v>13</v>
      </c>
      <c r="G193" s="2">
        <v>1500.1</v>
      </c>
      <c r="H193">
        <v>21</v>
      </c>
      <c r="I193">
        <v>4.9000000000000004</v>
      </c>
      <c r="J193" t="b">
        <v>0</v>
      </c>
      <c r="K193">
        <v>10</v>
      </c>
      <c r="L193" t="s">
        <v>14</v>
      </c>
    </row>
    <row r="194" spans="1:12" x14ac:dyDescent="0.35">
      <c r="A194">
        <v>291</v>
      </c>
      <c r="B194" t="s">
        <v>15</v>
      </c>
      <c r="C194">
        <v>32</v>
      </c>
      <c r="D194" t="str">
        <f>IF(Customer_Analytics[[#This Row],[Age]]&lt;=30,"26-30",IF(Customer_Analytics[[#This Row],[Age]]&lt;=35,"31-35",IF(Customer_Analytics[[#This Row],[Age]]&lt;=40,"36-40","41-45")))</f>
        <v>31-35</v>
      </c>
      <c r="E194" t="s">
        <v>23</v>
      </c>
      <c r="F194" t="s">
        <v>17</v>
      </c>
      <c r="G194" s="2">
        <v>670.3</v>
      </c>
      <c r="H194">
        <v>10</v>
      </c>
      <c r="I194">
        <v>3.8</v>
      </c>
      <c r="J194" t="b">
        <v>1</v>
      </c>
      <c r="K194">
        <v>33</v>
      </c>
      <c r="L194" t="s">
        <v>21</v>
      </c>
    </row>
    <row r="195" spans="1:12" x14ac:dyDescent="0.35">
      <c r="A195">
        <v>292</v>
      </c>
      <c r="B195" t="s">
        <v>11</v>
      </c>
      <c r="C195">
        <v>36</v>
      </c>
      <c r="D195" t="str">
        <f>IF(Customer_Analytics[[#This Row],[Age]]&lt;=30,"26-30",IF(Customer_Analytics[[#This Row],[Age]]&lt;=35,"31-35",IF(Customer_Analytics[[#This Row],[Age]]&lt;=40,"36-40","41-45")))</f>
        <v>36-40</v>
      </c>
      <c r="E195" t="s">
        <v>24</v>
      </c>
      <c r="F195" t="s">
        <v>20</v>
      </c>
      <c r="G195" s="2">
        <v>460.5</v>
      </c>
      <c r="H195">
        <v>8</v>
      </c>
      <c r="I195">
        <v>3.1</v>
      </c>
      <c r="J195" t="b">
        <v>0</v>
      </c>
      <c r="K195">
        <v>19</v>
      </c>
      <c r="L195" t="s">
        <v>18</v>
      </c>
    </row>
    <row r="196" spans="1:12" x14ac:dyDescent="0.35">
      <c r="A196">
        <v>293</v>
      </c>
      <c r="B196" t="s">
        <v>11</v>
      </c>
      <c r="C196">
        <v>30</v>
      </c>
      <c r="D196" t="str">
        <f>IF(Customer_Analytics[[#This Row],[Age]]&lt;=30,"26-30",IF(Customer_Analytics[[#This Row],[Age]]&lt;=35,"31-35",IF(Customer_Analytics[[#This Row],[Age]]&lt;=40,"36-40","41-45")))</f>
        <v>26-30</v>
      </c>
      <c r="E196" t="s">
        <v>12</v>
      </c>
      <c r="F196" t="s">
        <v>13</v>
      </c>
      <c r="G196" s="2">
        <v>1190.8</v>
      </c>
      <c r="H196">
        <v>16</v>
      </c>
      <c r="I196">
        <v>4.5</v>
      </c>
      <c r="J196" t="b">
        <v>1</v>
      </c>
      <c r="K196">
        <v>20</v>
      </c>
      <c r="L196" t="s">
        <v>14</v>
      </c>
    </row>
    <row r="197" spans="1:12" x14ac:dyDescent="0.35">
      <c r="A197">
        <v>294</v>
      </c>
      <c r="B197" t="s">
        <v>15</v>
      </c>
      <c r="C197">
        <v>33</v>
      </c>
      <c r="D197" t="str">
        <f>IF(Customer_Analytics[[#This Row],[Age]]&lt;=30,"26-30",IF(Customer_Analytics[[#This Row],[Age]]&lt;=35,"31-35",IF(Customer_Analytics[[#This Row],[Age]]&lt;=40,"36-40","41-45")))</f>
        <v>31-35</v>
      </c>
      <c r="E197" t="s">
        <v>16</v>
      </c>
      <c r="F197" t="s">
        <v>17</v>
      </c>
      <c r="G197" s="2">
        <v>830.75</v>
      </c>
      <c r="H197">
        <v>13</v>
      </c>
      <c r="I197">
        <v>4.2</v>
      </c>
      <c r="J197" t="b">
        <v>0</v>
      </c>
      <c r="K197">
        <v>14</v>
      </c>
      <c r="L197" t="s">
        <v>14</v>
      </c>
    </row>
    <row r="198" spans="1:12" x14ac:dyDescent="0.35">
      <c r="A198">
        <v>295</v>
      </c>
      <c r="B198" t="s">
        <v>11</v>
      </c>
      <c r="C198">
        <v>42</v>
      </c>
      <c r="D198" t="str">
        <f>IF(Customer_Analytics[[#This Row],[Age]]&lt;=30,"26-30",IF(Customer_Analytics[[#This Row],[Age]]&lt;=35,"31-35",IF(Customer_Analytics[[#This Row],[Age]]&lt;=40,"36-40","41-45")))</f>
        <v>41-45</v>
      </c>
      <c r="E198" t="s">
        <v>19</v>
      </c>
      <c r="F198" t="s">
        <v>20</v>
      </c>
      <c r="G198" s="2">
        <v>520.4</v>
      </c>
      <c r="H198">
        <v>9</v>
      </c>
      <c r="I198">
        <v>3.5</v>
      </c>
      <c r="J198" t="b">
        <v>1</v>
      </c>
      <c r="K198">
        <v>37</v>
      </c>
      <c r="L198" t="s">
        <v>21</v>
      </c>
    </row>
    <row r="199" spans="1:12" x14ac:dyDescent="0.35">
      <c r="A199">
        <v>296</v>
      </c>
      <c r="B199" t="s">
        <v>15</v>
      </c>
      <c r="C199">
        <v>29</v>
      </c>
      <c r="D199" t="str">
        <f>IF(Customer_Analytics[[#This Row],[Age]]&lt;=30,"26-30",IF(Customer_Analytics[[#This Row],[Age]]&lt;=35,"31-35",IF(Customer_Analytics[[#This Row],[Age]]&lt;=40,"36-40","41-45")))</f>
        <v>26-30</v>
      </c>
      <c r="E199" t="s">
        <v>22</v>
      </c>
      <c r="F199" t="s">
        <v>13</v>
      </c>
      <c r="G199" s="2">
        <v>1370.2</v>
      </c>
      <c r="H199">
        <v>18</v>
      </c>
      <c r="I199">
        <v>4.7</v>
      </c>
      <c r="J199" t="b">
        <v>0</v>
      </c>
      <c r="K199">
        <v>10</v>
      </c>
      <c r="L199" t="s">
        <v>14</v>
      </c>
    </row>
    <row r="200" spans="1:12" x14ac:dyDescent="0.35">
      <c r="A200">
        <v>297</v>
      </c>
      <c r="B200" t="s">
        <v>15</v>
      </c>
      <c r="C200">
        <v>26</v>
      </c>
      <c r="D200" t="str">
        <f>IF(Customer_Analytics[[#This Row],[Age]]&lt;=30,"26-30",IF(Customer_Analytics[[#This Row],[Age]]&lt;=35,"31-35",IF(Customer_Analytics[[#This Row],[Age]]&lt;=40,"36-40","41-45")))</f>
        <v>26-30</v>
      </c>
      <c r="E200" t="s">
        <v>23</v>
      </c>
      <c r="F200" t="s">
        <v>17</v>
      </c>
      <c r="G200" s="2">
        <v>690.6</v>
      </c>
      <c r="H200">
        <v>12</v>
      </c>
      <c r="I200">
        <v>3.9</v>
      </c>
      <c r="J200" t="b">
        <v>1</v>
      </c>
      <c r="K200">
        <v>47</v>
      </c>
      <c r="L200" t="s">
        <v>21</v>
      </c>
    </row>
    <row r="201" spans="1:12" x14ac:dyDescent="0.35">
      <c r="A201">
        <v>298</v>
      </c>
      <c r="B201" t="s">
        <v>11</v>
      </c>
      <c r="C201">
        <v>38</v>
      </c>
      <c r="D201" t="str">
        <f>IF(Customer_Analytics[[#This Row],[Age]]&lt;=30,"26-30",IF(Customer_Analytics[[#This Row],[Age]]&lt;=35,"31-35",IF(Customer_Analytics[[#This Row],[Age]]&lt;=40,"36-40","41-45")))</f>
        <v>36-40</v>
      </c>
      <c r="E201" t="s">
        <v>24</v>
      </c>
      <c r="F201" t="s">
        <v>20</v>
      </c>
      <c r="G201" s="2">
        <v>440.9</v>
      </c>
      <c r="H201">
        <v>8</v>
      </c>
      <c r="I201">
        <v>3.2</v>
      </c>
      <c r="J201" t="b">
        <v>0</v>
      </c>
      <c r="K201">
        <v>24</v>
      </c>
      <c r="L201" t="s">
        <v>18</v>
      </c>
    </row>
    <row r="202" spans="1:12" x14ac:dyDescent="0.35">
      <c r="A202">
        <v>299</v>
      </c>
      <c r="B202" t="s">
        <v>11</v>
      </c>
      <c r="C202">
        <v>32</v>
      </c>
      <c r="D202" t="str">
        <f>IF(Customer_Analytics[[#This Row],[Age]]&lt;=30,"26-30",IF(Customer_Analytics[[#This Row],[Age]]&lt;=35,"31-35",IF(Customer_Analytics[[#This Row],[Age]]&lt;=40,"36-40","41-45")))</f>
        <v>31-35</v>
      </c>
      <c r="E202" t="s">
        <v>12</v>
      </c>
      <c r="F202" t="s">
        <v>13</v>
      </c>
      <c r="G202" s="2">
        <v>1160.3</v>
      </c>
      <c r="H202">
        <v>14</v>
      </c>
      <c r="I202">
        <v>4.4000000000000004</v>
      </c>
      <c r="J202" t="b">
        <v>1</v>
      </c>
      <c r="K202">
        <v>22</v>
      </c>
      <c r="L202" t="s">
        <v>14</v>
      </c>
    </row>
    <row r="203" spans="1:12" x14ac:dyDescent="0.35">
      <c r="A203">
        <v>300</v>
      </c>
      <c r="B203" t="s">
        <v>15</v>
      </c>
      <c r="C203">
        <v>34</v>
      </c>
      <c r="D203" t="str">
        <f>IF(Customer_Analytics[[#This Row],[Age]]&lt;=30,"26-30",IF(Customer_Analytics[[#This Row],[Age]]&lt;=35,"31-35",IF(Customer_Analytics[[#This Row],[Age]]&lt;=40,"36-40","41-45")))</f>
        <v>31-35</v>
      </c>
      <c r="E203" t="s">
        <v>16</v>
      </c>
      <c r="F203" t="s">
        <v>17</v>
      </c>
      <c r="G203" s="2">
        <v>800.2</v>
      </c>
      <c r="H203">
        <v>11</v>
      </c>
      <c r="I203">
        <v>4.0999999999999996</v>
      </c>
      <c r="J203" t="b">
        <v>0</v>
      </c>
      <c r="K203">
        <v>17</v>
      </c>
      <c r="L203" t="s">
        <v>18</v>
      </c>
    </row>
    <row r="204" spans="1:12" x14ac:dyDescent="0.35">
      <c r="A204">
        <v>301</v>
      </c>
      <c r="B204" t="s">
        <v>15</v>
      </c>
      <c r="C204">
        <v>36</v>
      </c>
      <c r="D204" t="str">
        <f>IF(Customer_Analytics[[#This Row],[Age]]&lt;=30,"26-30",IF(Customer_Analytics[[#This Row],[Age]]&lt;=35,"31-35",IF(Customer_Analytics[[#This Row],[Age]]&lt;=40,"36-40","41-45")))</f>
        <v>36-40</v>
      </c>
      <c r="E204" t="s">
        <v>22</v>
      </c>
      <c r="F204" t="s">
        <v>13</v>
      </c>
      <c r="G204" s="2">
        <v>1420.8</v>
      </c>
      <c r="H204">
        <v>19</v>
      </c>
      <c r="I204">
        <v>4.5999999999999996</v>
      </c>
      <c r="J204" t="b">
        <v>0</v>
      </c>
      <c r="K204">
        <v>11</v>
      </c>
      <c r="L204" t="s">
        <v>14</v>
      </c>
    </row>
    <row r="205" spans="1:12" x14ac:dyDescent="0.35">
      <c r="A205">
        <v>302</v>
      </c>
      <c r="B205" t="s">
        <v>11</v>
      </c>
      <c r="C205">
        <v>29</v>
      </c>
      <c r="D205" t="str">
        <f>IF(Customer_Analytics[[#This Row],[Age]]&lt;=30,"26-30",IF(Customer_Analytics[[#This Row],[Age]]&lt;=35,"31-35",IF(Customer_Analytics[[#This Row],[Age]]&lt;=40,"36-40","41-45")))</f>
        <v>26-30</v>
      </c>
      <c r="E205" t="s">
        <v>23</v>
      </c>
      <c r="F205" t="s">
        <v>17</v>
      </c>
      <c r="G205" s="2">
        <v>730.4</v>
      </c>
      <c r="H205">
        <v>14</v>
      </c>
      <c r="I205">
        <v>4</v>
      </c>
      <c r="J205" t="b">
        <v>1</v>
      </c>
      <c r="K205">
        <v>50</v>
      </c>
      <c r="L205" t="s">
        <v>21</v>
      </c>
    </row>
    <row r="206" spans="1:12" x14ac:dyDescent="0.35">
      <c r="A206">
        <v>303</v>
      </c>
      <c r="B206" t="s">
        <v>11</v>
      </c>
      <c r="C206">
        <v>35</v>
      </c>
      <c r="D206" t="str">
        <f>IF(Customer_Analytics[[#This Row],[Age]]&lt;=30,"26-30",IF(Customer_Analytics[[#This Row],[Age]]&lt;=35,"31-35",IF(Customer_Analytics[[#This Row],[Age]]&lt;=40,"36-40","41-45")))</f>
        <v>31-35</v>
      </c>
      <c r="E206" t="s">
        <v>24</v>
      </c>
      <c r="F206" t="s">
        <v>20</v>
      </c>
      <c r="G206" s="2">
        <v>450.6</v>
      </c>
      <c r="H206">
        <v>7</v>
      </c>
      <c r="I206">
        <v>3.3</v>
      </c>
      <c r="J206" t="b">
        <v>0</v>
      </c>
      <c r="K206">
        <v>21</v>
      </c>
      <c r="L206" t="s">
        <v>18</v>
      </c>
    </row>
    <row r="207" spans="1:12" x14ac:dyDescent="0.35">
      <c r="A207">
        <v>304</v>
      </c>
      <c r="B207" t="s">
        <v>15</v>
      </c>
      <c r="C207">
        <v>31</v>
      </c>
      <c r="D207" t="str">
        <f>IF(Customer_Analytics[[#This Row],[Age]]&lt;=30,"26-30",IF(Customer_Analytics[[#This Row],[Age]]&lt;=35,"31-35",IF(Customer_Analytics[[#This Row],[Age]]&lt;=40,"36-40","41-45")))</f>
        <v>31-35</v>
      </c>
      <c r="E207" t="s">
        <v>12</v>
      </c>
      <c r="F207" t="s">
        <v>13</v>
      </c>
      <c r="G207" s="2">
        <v>1210.5999999999999</v>
      </c>
      <c r="H207">
        <v>17</v>
      </c>
      <c r="I207">
        <v>4.8</v>
      </c>
      <c r="J207" t="b">
        <v>1</v>
      </c>
      <c r="K207">
        <v>18</v>
      </c>
      <c r="L207" t="s">
        <v>14</v>
      </c>
    </row>
    <row r="208" spans="1:12" x14ac:dyDescent="0.35">
      <c r="A208">
        <v>305</v>
      </c>
      <c r="B208" t="s">
        <v>15</v>
      </c>
      <c r="C208">
        <v>27</v>
      </c>
      <c r="D208" t="str">
        <f>IF(Customer_Analytics[[#This Row],[Age]]&lt;=30,"26-30",IF(Customer_Analytics[[#This Row],[Age]]&lt;=35,"31-35",IF(Customer_Analytics[[#This Row],[Age]]&lt;=40,"36-40","41-45")))</f>
        <v>26-30</v>
      </c>
      <c r="E208" t="s">
        <v>16</v>
      </c>
      <c r="F208" t="s">
        <v>17</v>
      </c>
      <c r="G208" s="2">
        <v>780.9</v>
      </c>
      <c r="H208">
        <v>11</v>
      </c>
      <c r="I208">
        <v>4.2</v>
      </c>
      <c r="J208" t="b">
        <v>0</v>
      </c>
      <c r="K208">
        <v>16</v>
      </c>
      <c r="L208" t="s">
        <v>18</v>
      </c>
    </row>
    <row r="209" spans="1:12" x14ac:dyDescent="0.35">
      <c r="A209">
        <v>306</v>
      </c>
      <c r="B209" t="s">
        <v>11</v>
      </c>
      <c r="C209">
        <v>42</v>
      </c>
      <c r="D209" t="str">
        <f>IF(Customer_Analytics[[#This Row],[Age]]&lt;=30,"26-30",IF(Customer_Analytics[[#This Row],[Age]]&lt;=35,"31-35",IF(Customer_Analytics[[#This Row],[Age]]&lt;=40,"36-40","41-45")))</f>
        <v>41-45</v>
      </c>
      <c r="E209" t="s">
        <v>19</v>
      </c>
      <c r="F209" t="s">
        <v>20</v>
      </c>
      <c r="G209" s="2">
        <v>495.25</v>
      </c>
      <c r="H209">
        <v>10</v>
      </c>
      <c r="I209">
        <v>3.5</v>
      </c>
      <c r="J209" t="b">
        <v>1</v>
      </c>
      <c r="K209">
        <v>35</v>
      </c>
      <c r="L209" t="s">
        <v>21</v>
      </c>
    </row>
    <row r="210" spans="1:12" x14ac:dyDescent="0.35">
      <c r="A210">
        <v>307</v>
      </c>
      <c r="B210" t="s">
        <v>15</v>
      </c>
      <c r="C210">
        <v>29</v>
      </c>
      <c r="D210" t="str">
        <f>IF(Customer_Analytics[[#This Row],[Age]]&lt;=30,"26-30",IF(Customer_Analytics[[#This Row],[Age]]&lt;=35,"31-35",IF(Customer_Analytics[[#This Row],[Age]]&lt;=40,"36-40","41-45")))</f>
        <v>26-30</v>
      </c>
      <c r="E210" t="s">
        <v>22</v>
      </c>
      <c r="F210" t="s">
        <v>13</v>
      </c>
      <c r="G210" s="2">
        <v>1390.2</v>
      </c>
      <c r="H210">
        <v>18</v>
      </c>
      <c r="I210">
        <v>4.7</v>
      </c>
      <c r="J210" t="b">
        <v>0</v>
      </c>
      <c r="K210">
        <v>9</v>
      </c>
      <c r="L210" t="s">
        <v>14</v>
      </c>
    </row>
    <row r="211" spans="1:12" x14ac:dyDescent="0.35">
      <c r="A211">
        <v>308</v>
      </c>
      <c r="B211" t="s">
        <v>15</v>
      </c>
      <c r="C211">
        <v>26</v>
      </c>
      <c r="D211" t="str">
        <f>IF(Customer_Analytics[[#This Row],[Age]]&lt;=30,"26-30",IF(Customer_Analytics[[#This Row],[Age]]&lt;=35,"31-35",IF(Customer_Analytics[[#This Row],[Age]]&lt;=40,"36-40","41-45")))</f>
        <v>26-30</v>
      </c>
      <c r="E211" t="s">
        <v>23</v>
      </c>
      <c r="F211" t="s">
        <v>17</v>
      </c>
      <c r="G211" s="2">
        <v>670.6</v>
      </c>
      <c r="H211">
        <v>12</v>
      </c>
      <c r="I211">
        <v>3.9</v>
      </c>
      <c r="J211" t="b">
        <v>1</v>
      </c>
      <c r="K211">
        <v>46</v>
      </c>
      <c r="L211" t="s">
        <v>21</v>
      </c>
    </row>
    <row r="212" spans="1:12" x14ac:dyDescent="0.35">
      <c r="A212">
        <v>309</v>
      </c>
      <c r="B212" t="s">
        <v>11</v>
      </c>
      <c r="C212">
        <v>38</v>
      </c>
      <c r="D212" t="str">
        <f>IF(Customer_Analytics[[#This Row],[Age]]&lt;=30,"26-30",IF(Customer_Analytics[[#This Row],[Age]]&lt;=35,"31-35",IF(Customer_Analytics[[#This Row],[Age]]&lt;=40,"36-40","41-45")))</f>
        <v>36-40</v>
      </c>
      <c r="E212" t="s">
        <v>24</v>
      </c>
      <c r="F212" t="s">
        <v>20</v>
      </c>
      <c r="G212" s="2">
        <v>460.9</v>
      </c>
      <c r="H212">
        <v>8</v>
      </c>
      <c r="I212">
        <v>3.2</v>
      </c>
      <c r="J212" t="b">
        <v>0</v>
      </c>
      <c r="K212">
        <v>25</v>
      </c>
      <c r="L212" t="s">
        <v>18</v>
      </c>
    </row>
    <row r="213" spans="1:12" x14ac:dyDescent="0.35">
      <c r="A213">
        <v>310</v>
      </c>
      <c r="B213" t="s">
        <v>11</v>
      </c>
      <c r="C213">
        <v>32</v>
      </c>
      <c r="D213" t="str">
        <f>IF(Customer_Analytics[[#This Row],[Age]]&lt;=30,"26-30",IF(Customer_Analytics[[#This Row],[Age]]&lt;=35,"31-35",IF(Customer_Analytics[[#This Row],[Age]]&lt;=40,"36-40","41-45")))</f>
        <v>31-35</v>
      </c>
      <c r="E213" t="s">
        <v>12</v>
      </c>
      <c r="F213" t="s">
        <v>13</v>
      </c>
      <c r="G213" s="2">
        <v>1170.3</v>
      </c>
      <c r="H213">
        <v>14</v>
      </c>
      <c r="I213">
        <v>4.5</v>
      </c>
      <c r="J213" t="b">
        <v>1</v>
      </c>
      <c r="K213">
        <v>21</v>
      </c>
      <c r="L213" t="s">
        <v>14</v>
      </c>
    </row>
    <row r="214" spans="1:12" x14ac:dyDescent="0.35">
      <c r="A214">
        <v>311</v>
      </c>
      <c r="B214" t="s">
        <v>15</v>
      </c>
      <c r="C214">
        <v>34</v>
      </c>
      <c r="D214" t="str">
        <f>IF(Customer_Analytics[[#This Row],[Age]]&lt;=30,"26-30",IF(Customer_Analytics[[#This Row],[Age]]&lt;=35,"31-35",IF(Customer_Analytics[[#This Row],[Age]]&lt;=40,"36-40","41-45")))</f>
        <v>31-35</v>
      </c>
      <c r="E214" t="s">
        <v>16</v>
      </c>
      <c r="F214" t="s">
        <v>17</v>
      </c>
      <c r="G214" s="2">
        <v>810.2</v>
      </c>
      <c r="H214">
        <v>11</v>
      </c>
      <c r="I214">
        <v>4</v>
      </c>
      <c r="J214" t="b">
        <v>0</v>
      </c>
      <c r="K214">
        <v>14</v>
      </c>
      <c r="L214" t="s">
        <v>18</v>
      </c>
    </row>
    <row r="215" spans="1:12" x14ac:dyDescent="0.35">
      <c r="A215">
        <v>312</v>
      </c>
      <c r="B215" t="s">
        <v>11</v>
      </c>
      <c r="C215">
        <v>43</v>
      </c>
      <c r="D215" t="str">
        <f>IF(Customer_Analytics[[#This Row],[Age]]&lt;=30,"26-30",IF(Customer_Analytics[[#This Row],[Age]]&lt;=35,"31-35",IF(Customer_Analytics[[#This Row],[Age]]&lt;=40,"36-40","41-45")))</f>
        <v>41-45</v>
      </c>
      <c r="E215" t="s">
        <v>19</v>
      </c>
      <c r="F215" t="s">
        <v>20</v>
      </c>
      <c r="G215" s="2">
        <v>515.75</v>
      </c>
      <c r="H215">
        <v>9</v>
      </c>
      <c r="I215">
        <v>3.3</v>
      </c>
      <c r="J215" t="b">
        <v>1</v>
      </c>
      <c r="K215">
        <v>38</v>
      </c>
      <c r="L215" t="s">
        <v>21</v>
      </c>
    </row>
    <row r="216" spans="1:12" x14ac:dyDescent="0.35">
      <c r="A216">
        <v>313</v>
      </c>
      <c r="B216" t="s">
        <v>15</v>
      </c>
      <c r="C216">
        <v>30</v>
      </c>
      <c r="D216" t="str">
        <f>IF(Customer_Analytics[[#This Row],[Age]]&lt;=30,"26-30",IF(Customer_Analytics[[#This Row],[Age]]&lt;=35,"31-35",IF(Customer_Analytics[[#This Row],[Age]]&lt;=40,"36-40","41-45")))</f>
        <v>26-30</v>
      </c>
      <c r="E216" t="s">
        <v>22</v>
      </c>
      <c r="F216" t="s">
        <v>13</v>
      </c>
      <c r="G216" s="2">
        <v>1450.5</v>
      </c>
      <c r="H216">
        <v>20</v>
      </c>
      <c r="I216">
        <v>4.8</v>
      </c>
      <c r="J216" t="b">
        <v>0</v>
      </c>
      <c r="K216">
        <v>12</v>
      </c>
      <c r="L216" t="s">
        <v>14</v>
      </c>
    </row>
    <row r="217" spans="1:12" x14ac:dyDescent="0.35">
      <c r="A217">
        <v>314</v>
      </c>
      <c r="B217" t="s">
        <v>15</v>
      </c>
      <c r="C217">
        <v>27</v>
      </c>
      <c r="D217" t="str">
        <f>IF(Customer_Analytics[[#This Row],[Age]]&lt;=30,"26-30",IF(Customer_Analytics[[#This Row],[Age]]&lt;=35,"31-35",IF(Customer_Analytics[[#This Row],[Age]]&lt;=40,"36-40","41-45")))</f>
        <v>26-30</v>
      </c>
      <c r="E217" t="s">
        <v>23</v>
      </c>
      <c r="F217" t="s">
        <v>17</v>
      </c>
      <c r="G217" s="2">
        <v>690.4</v>
      </c>
      <c r="H217">
        <v>13</v>
      </c>
      <c r="I217">
        <v>4.0999999999999996</v>
      </c>
      <c r="J217" t="b">
        <v>1</v>
      </c>
      <c r="K217">
        <v>52</v>
      </c>
      <c r="L217" t="s">
        <v>21</v>
      </c>
    </row>
    <row r="218" spans="1:12" x14ac:dyDescent="0.35">
      <c r="A218">
        <v>315</v>
      </c>
      <c r="B218" t="s">
        <v>11</v>
      </c>
      <c r="C218">
        <v>37</v>
      </c>
      <c r="D218" t="str">
        <f>IF(Customer_Analytics[[#This Row],[Age]]&lt;=30,"26-30",IF(Customer_Analytics[[#This Row],[Age]]&lt;=35,"31-35",IF(Customer_Analytics[[#This Row],[Age]]&lt;=40,"36-40","41-45")))</f>
        <v>36-40</v>
      </c>
      <c r="E218" t="s">
        <v>24</v>
      </c>
      <c r="F218" t="s">
        <v>20</v>
      </c>
      <c r="G218" s="2">
        <v>420.8</v>
      </c>
      <c r="H218">
        <v>7</v>
      </c>
      <c r="I218">
        <v>3.4</v>
      </c>
      <c r="J218" t="b">
        <v>0</v>
      </c>
      <c r="K218">
        <v>24</v>
      </c>
      <c r="L218" t="s">
        <v>18</v>
      </c>
    </row>
    <row r="219" spans="1:12" x14ac:dyDescent="0.35">
      <c r="A219">
        <v>316</v>
      </c>
      <c r="B219" t="s">
        <v>11</v>
      </c>
      <c r="C219">
        <v>31</v>
      </c>
      <c r="D219" t="str">
        <f>IF(Customer_Analytics[[#This Row],[Age]]&lt;=30,"26-30",IF(Customer_Analytics[[#This Row],[Age]]&lt;=35,"31-35",IF(Customer_Analytics[[#This Row],[Age]]&lt;=40,"36-40","41-45")))</f>
        <v>31-35</v>
      </c>
      <c r="E219" t="s">
        <v>12</v>
      </c>
      <c r="F219" t="s">
        <v>13</v>
      </c>
      <c r="G219" s="2">
        <v>1130.5999999999999</v>
      </c>
      <c r="H219">
        <v>15</v>
      </c>
      <c r="I219">
        <v>4.5</v>
      </c>
      <c r="J219" t="b">
        <v>1</v>
      </c>
      <c r="K219">
        <v>26</v>
      </c>
      <c r="L219" t="s">
        <v>14</v>
      </c>
    </row>
    <row r="220" spans="1:12" x14ac:dyDescent="0.35">
      <c r="A220">
        <v>317</v>
      </c>
      <c r="B220" t="s">
        <v>15</v>
      </c>
      <c r="C220">
        <v>35</v>
      </c>
      <c r="D220" t="str">
        <f>IF(Customer_Analytics[[#This Row],[Age]]&lt;=30,"26-30",IF(Customer_Analytics[[#This Row],[Age]]&lt;=35,"31-35",IF(Customer_Analytics[[#This Row],[Age]]&lt;=40,"36-40","41-45")))</f>
        <v>31-35</v>
      </c>
      <c r="E220" t="s">
        <v>16</v>
      </c>
      <c r="F220" t="s">
        <v>17</v>
      </c>
      <c r="G220" s="2">
        <v>820.9</v>
      </c>
      <c r="H220">
        <v>12</v>
      </c>
      <c r="I220">
        <v>4.3</v>
      </c>
      <c r="J220" t="b">
        <v>0</v>
      </c>
      <c r="K220">
        <v>13</v>
      </c>
      <c r="L220" t="s">
        <v>18</v>
      </c>
    </row>
    <row r="221" spans="1:12" x14ac:dyDescent="0.35">
      <c r="A221">
        <v>318</v>
      </c>
      <c r="B221" t="s">
        <v>11</v>
      </c>
      <c r="C221">
        <v>41</v>
      </c>
      <c r="D221" t="str">
        <f>IF(Customer_Analytics[[#This Row],[Age]]&lt;=30,"26-30",IF(Customer_Analytics[[#This Row],[Age]]&lt;=35,"31-35",IF(Customer_Analytics[[#This Row],[Age]]&lt;=40,"36-40","41-45")))</f>
        <v>41-45</v>
      </c>
      <c r="E221" t="s">
        <v>19</v>
      </c>
      <c r="F221" t="s">
        <v>20</v>
      </c>
      <c r="G221" s="2">
        <v>480.25</v>
      </c>
      <c r="H221">
        <v>9</v>
      </c>
      <c r="I221">
        <v>3.6</v>
      </c>
      <c r="J221" t="b">
        <v>1</v>
      </c>
      <c r="K221">
        <v>39</v>
      </c>
      <c r="L221" t="s">
        <v>21</v>
      </c>
    </row>
    <row r="222" spans="1:12" x14ac:dyDescent="0.35">
      <c r="A222">
        <v>319</v>
      </c>
      <c r="B222" t="s">
        <v>15</v>
      </c>
      <c r="C222">
        <v>28</v>
      </c>
      <c r="D222" t="str">
        <f>IF(Customer_Analytics[[#This Row],[Age]]&lt;=30,"26-30",IF(Customer_Analytics[[#This Row],[Age]]&lt;=35,"31-35",IF(Customer_Analytics[[#This Row],[Age]]&lt;=40,"36-40","41-45")))</f>
        <v>26-30</v>
      </c>
      <c r="E222" t="s">
        <v>22</v>
      </c>
      <c r="F222" t="s">
        <v>13</v>
      </c>
      <c r="G222" s="2">
        <v>1490.1</v>
      </c>
      <c r="H222">
        <v>21</v>
      </c>
      <c r="I222">
        <v>4.9000000000000004</v>
      </c>
      <c r="J222" t="b">
        <v>0</v>
      </c>
      <c r="K222">
        <v>9</v>
      </c>
      <c r="L222" t="s">
        <v>14</v>
      </c>
    </row>
    <row r="223" spans="1:12" x14ac:dyDescent="0.35">
      <c r="A223">
        <v>320</v>
      </c>
      <c r="B223" t="s">
        <v>15</v>
      </c>
      <c r="C223">
        <v>32</v>
      </c>
      <c r="D223" t="str">
        <f>IF(Customer_Analytics[[#This Row],[Age]]&lt;=30,"26-30",IF(Customer_Analytics[[#This Row],[Age]]&lt;=35,"31-35",IF(Customer_Analytics[[#This Row],[Age]]&lt;=40,"36-40","41-45")))</f>
        <v>31-35</v>
      </c>
      <c r="E223" t="s">
        <v>23</v>
      </c>
      <c r="F223" t="s">
        <v>17</v>
      </c>
      <c r="G223" s="2">
        <v>680.3</v>
      </c>
      <c r="H223">
        <v>10</v>
      </c>
      <c r="I223">
        <v>3.8</v>
      </c>
      <c r="J223" t="b">
        <v>1</v>
      </c>
      <c r="K223">
        <v>32</v>
      </c>
      <c r="L223" t="s">
        <v>21</v>
      </c>
    </row>
    <row r="224" spans="1:12" x14ac:dyDescent="0.35">
      <c r="A224">
        <v>321</v>
      </c>
      <c r="B224" t="s">
        <v>11</v>
      </c>
      <c r="C224">
        <v>36</v>
      </c>
      <c r="D224" t="str">
        <f>IF(Customer_Analytics[[#This Row],[Age]]&lt;=30,"26-30",IF(Customer_Analytics[[#This Row],[Age]]&lt;=35,"31-35",IF(Customer_Analytics[[#This Row],[Age]]&lt;=40,"36-40","41-45")))</f>
        <v>36-40</v>
      </c>
      <c r="E224" t="s">
        <v>24</v>
      </c>
      <c r="F224" t="s">
        <v>20</v>
      </c>
      <c r="G224" s="2">
        <v>470.5</v>
      </c>
      <c r="H224">
        <v>8</v>
      </c>
      <c r="I224">
        <v>3</v>
      </c>
      <c r="J224" t="b">
        <v>0</v>
      </c>
      <c r="K224">
        <v>18</v>
      </c>
      <c r="L224" t="s">
        <v>18</v>
      </c>
    </row>
    <row r="225" spans="1:12" x14ac:dyDescent="0.35">
      <c r="A225">
        <v>322</v>
      </c>
      <c r="B225" t="s">
        <v>11</v>
      </c>
      <c r="C225">
        <v>30</v>
      </c>
      <c r="D225" t="str">
        <f>IF(Customer_Analytics[[#This Row],[Age]]&lt;=30,"26-30",IF(Customer_Analytics[[#This Row],[Age]]&lt;=35,"31-35",IF(Customer_Analytics[[#This Row],[Age]]&lt;=40,"36-40","41-45")))</f>
        <v>26-30</v>
      </c>
      <c r="E225" t="s">
        <v>12</v>
      </c>
      <c r="F225" t="s">
        <v>13</v>
      </c>
      <c r="G225" s="2">
        <v>1180.8</v>
      </c>
      <c r="H225">
        <v>16</v>
      </c>
      <c r="I225">
        <v>4.7</v>
      </c>
      <c r="J225" t="b">
        <v>1</v>
      </c>
      <c r="K225">
        <v>19</v>
      </c>
      <c r="L225" t="s">
        <v>14</v>
      </c>
    </row>
    <row r="226" spans="1:12" x14ac:dyDescent="0.35">
      <c r="A226">
        <v>323</v>
      </c>
      <c r="B226" t="s">
        <v>15</v>
      </c>
      <c r="C226">
        <v>34</v>
      </c>
      <c r="D226" t="str">
        <f>IF(Customer_Analytics[[#This Row],[Age]]&lt;=30,"26-30",IF(Customer_Analytics[[#This Row],[Age]]&lt;=35,"31-35",IF(Customer_Analytics[[#This Row],[Age]]&lt;=40,"36-40","41-45")))</f>
        <v>31-35</v>
      </c>
      <c r="E226" t="s">
        <v>16</v>
      </c>
      <c r="F226" t="s">
        <v>17</v>
      </c>
      <c r="G226" s="2">
        <v>790.2</v>
      </c>
      <c r="H226">
        <v>11</v>
      </c>
      <c r="I226">
        <v>4</v>
      </c>
      <c r="J226" t="b">
        <v>0</v>
      </c>
      <c r="K226">
        <v>15</v>
      </c>
      <c r="L226" t="s">
        <v>18</v>
      </c>
    </row>
    <row r="227" spans="1:12" x14ac:dyDescent="0.35">
      <c r="A227">
        <v>324</v>
      </c>
      <c r="B227" t="s">
        <v>11</v>
      </c>
      <c r="C227">
        <v>43</v>
      </c>
      <c r="D227" t="str">
        <f>IF(Customer_Analytics[[#This Row],[Age]]&lt;=30,"26-30",IF(Customer_Analytics[[#This Row],[Age]]&lt;=35,"31-35",IF(Customer_Analytics[[#This Row],[Age]]&lt;=40,"36-40","41-45")))</f>
        <v>41-45</v>
      </c>
      <c r="E227" t="s">
        <v>19</v>
      </c>
      <c r="F227" t="s">
        <v>20</v>
      </c>
      <c r="G227" s="2">
        <v>505.75</v>
      </c>
      <c r="H227">
        <v>10</v>
      </c>
      <c r="I227">
        <v>3.3</v>
      </c>
      <c r="J227" t="b">
        <v>1</v>
      </c>
      <c r="K227">
        <v>39</v>
      </c>
      <c r="L227" t="s">
        <v>21</v>
      </c>
    </row>
    <row r="228" spans="1:12" x14ac:dyDescent="0.35">
      <c r="A228">
        <v>325</v>
      </c>
      <c r="B228" t="s">
        <v>15</v>
      </c>
      <c r="C228">
        <v>30</v>
      </c>
      <c r="D228" t="str">
        <f>IF(Customer_Analytics[[#This Row],[Age]]&lt;=30,"26-30",IF(Customer_Analytics[[#This Row],[Age]]&lt;=35,"31-35",IF(Customer_Analytics[[#This Row],[Age]]&lt;=40,"36-40","41-45")))</f>
        <v>26-30</v>
      </c>
      <c r="E228" t="s">
        <v>22</v>
      </c>
      <c r="F228" t="s">
        <v>13</v>
      </c>
      <c r="G228" s="2">
        <v>1470.5</v>
      </c>
      <c r="H228">
        <v>20</v>
      </c>
      <c r="I228">
        <v>4.8</v>
      </c>
      <c r="J228" t="b">
        <v>0</v>
      </c>
      <c r="K228">
        <v>13</v>
      </c>
      <c r="L228" t="s">
        <v>14</v>
      </c>
    </row>
    <row r="229" spans="1:12" x14ac:dyDescent="0.35">
      <c r="A229">
        <v>326</v>
      </c>
      <c r="B229" t="s">
        <v>15</v>
      </c>
      <c r="C229">
        <v>27</v>
      </c>
      <c r="D229" t="str">
        <f>IF(Customer_Analytics[[#This Row],[Age]]&lt;=30,"26-30",IF(Customer_Analytics[[#This Row],[Age]]&lt;=35,"31-35",IF(Customer_Analytics[[#This Row],[Age]]&lt;=40,"36-40","41-45")))</f>
        <v>26-30</v>
      </c>
      <c r="E229" t="s">
        <v>23</v>
      </c>
      <c r="F229" t="s">
        <v>17</v>
      </c>
      <c r="G229" s="2">
        <v>710.4</v>
      </c>
      <c r="H229">
        <v>13</v>
      </c>
      <c r="I229">
        <v>4.0999999999999996</v>
      </c>
      <c r="J229" t="b">
        <v>1</v>
      </c>
      <c r="K229">
        <v>54</v>
      </c>
      <c r="L229" t="s">
        <v>21</v>
      </c>
    </row>
    <row r="230" spans="1:12" x14ac:dyDescent="0.35">
      <c r="A230">
        <v>327</v>
      </c>
      <c r="B230" t="s">
        <v>11</v>
      </c>
      <c r="C230">
        <v>37</v>
      </c>
      <c r="D230" t="str">
        <f>IF(Customer_Analytics[[#This Row],[Age]]&lt;=30,"26-30",IF(Customer_Analytics[[#This Row],[Age]]&lt;=35,"31-35",IF(Customer_Analytics[[#This Row],[Age]]&lt;=40,"36-40","41-45")))</f>
        <v>36-40</v>
      </c>
      <c r="E230" t="s">
        <v>24</v>
      </c>
      <c r="F230" t="s">
        <v>20</v>
      </c>
      <c r="G230" s="2">
        <v>430.8</v>
      </c>
      <c r="H230">
        <v>7</v>
      </c>
      <c r="I230">
        <v>3.4</v>
      </c>
      <c r="J230" t="b">
        <v>0</v>
      </c>
      <c r="K230">
        <v>23</v>
      </c>
      <c r="L230" t="s">
        <v>18</v>
      </c>
    </row>
    <row r="231" spans="1:12" x14ac:dyDescent="0.35">
      <c r="A231">
        <v>328</v>
      </c>
      <c r="B231" t="s">
        <v>11</v>
      </c>
      <c r="C231">
        <v>31</v>
      </c>
      <c r="D231" t="str">
        <f>IF(Customer_Analytics[[#This Row],[Age]]&lt;=30,"26-30",IF(Customer_Analytics[[#This Row],[Age]]&lt;=35,"31-35",IF(Customer_Analytics[[#This Row],[Age]]&lt;=40,"36-40","41-45")))</f>
        <v>31-35</v>
      </c>
      <c r="E231" t="s">
        <v>12</v>
      </c>
      <c r="F231" t="s">
        <v>13</v>
      </c>
      <c r="G231" s="2">
        <v>1140.5999999999999</v>
      </c>
      <c r="H231">
        <v>15</v>
      </c>
      <c r="I231">
        <v>4.5</v>
      </c>
      <c r="J231" t="b">
        <v>1</v>
      </c>
      <c r="K231">
        <v>27</v>
      </c>
      <c r="L231" t="s">
        <v>14</v>
      </c>
    </row>
    <row r="232" spans="1:12" x14ac:dyDescent="0.35">
      <c r="A232">
        <v>329</v>
      </c>
      <c r="B232" t="s">
        <v>15</v>
      </c>
      <c r="C232">
        <v>35</v>
      </c>
      <c r="D232" t="str">
        <f>IF(Customer_Analytics[[#This Row],[Age]]&lt;=30,"26-30",IF(Customer_Analytics[[#This Row],[Age]]&lt;=35,"31-35",IF(Customer_Analytics[[#This Row],[Age]]&lt;=40,"36-40","41-45")))</f>
        <v>31-35</v>
      </c>
      <c r="E232" t="s">
        <v>16</v>
      </c>
      <c r="F232" t="s">
        <v>17</v>
      </c>
      <c r="G232" s="2">
        <v>820.9</v>
      </c>
      <c r="H232">
        <v>12</v>
      </c>
      <c r="I232">
        <v>4.3</v>
      </c>
      <c r="J232" t="b">
        <v>0</v>
      </c>
      <c r="K232">
        <v>13</v>
      </c>
      <c r="L232" t="s">
        <v>18</v>
      </c>
    </row>
    <row r="233" spans="1:12" x14ac:dyDescent="0.35">
      <c r="A233">
        <v>330</v>
      </c>
      <c r="B233" t="s">
        <v>11</v>
      </c>
      <c r="C233">
        <v>41</v>
      </c>
      <c r="D233" t="str">
        <f>IF(Customer_Analytics[[#This Row],[Age]]&lt;=30,"26-30",IF(Customer_Analytics[[#This Row],[Age]]&lt;=35,"31-35",IF(Customer_Analytics[[#This Row],[Age]]&lt;=40,"36-40","41-45")))</f>
        <v>41-45</v>
      </c>
      <c r="E233" t="s">
        <v>19</v>
      </c>
      <c r="F233" t="s">
        <v>20</v>
      </c>
      <c r="G233" s="2">
        <v>485.25</v>
      </c>
      <c r="H233">
        <v>9</v>
      </c>
      <c r="I233">
        <v>3.6</v>
      </c>
      <c r="J233" t="b">
        <v>1</v>
      </c>
      <c r="K233">
        <v>39</v>
      </c>
      <c r="L233" t="s">
        <v>21</v>
      </c>
    </row>
    <row r="234" spans="1:12" x14ac:dyDescent="0.35">
      <c r="A234">
        <v>331</v>
      </c>
      <c r="B234" t="s">
        <v>15</v>
      </c>
      <c r="C234">
        <v>28</v>
      </c>
      <c r="D234" t="str">
        <f>IF(Customer_Analytics[[#This Row],[Age]]&lt;=30,"26-30",IF(Customer_Analytics[[#This Row],[Age]]&lt;=35,"31-35",IF(Customer_Analytics[[#This Row],[Age]]&lt;=40,"36-40","41-45")))</f>
        <v>26-30</v>
      </c>
      <c r="E234" t="s">
        <v>22</v>
      </c>
      <c r="F234" t="s">
        <v>13</v>
      </c>
      <c r="G234" s="2">
        <v>1500.1</v>
      </c>
      <c r="H234">
        <v>21</v>
      </c>
      <c r="I234">
        <v>4.9000000000000004</v>
      </c>
      <c r="J234" t="b">
        <v>0</v>
      </c>
      <c r="K234">
        <v>10</v>
      </c>
      <c r="L234" t="s">
        <v>14</v>
      </c>
    </row>
    <row r="235" spans="1:12" x14ac:dyDescent="0.35">
      <c r="A235">
        <v>332</v>
      </c>
      <c r="B235" t="s">
        <v>15</v>
      </c>
      <c r="C235">
        <v>32</v>
      </c>
      <c r="D235" t="str">
        <f>IF(Customer_Analytics[[#This Row],[Age]]&lt;=30,"26-30",IF(Customer_Analytics[[#This Row],[Age]]&lt;=35,"31-35",IF(Customer_Analytics[[#This Row],[Age]]&lt;=40,"36-40","41-45")))</f>
        <v>31-35</v>
      </c>
      <c r="E235" t="s">
        <v>23</v>
      </c>
      <c r="F235" t="s">
        <v>17</v>
      </c>
      <c r="G235" s="2">
        <v>670.3</v>
      </c>
      <c r="H235">
        <v>10</v>
      </c>
      <c r="I235">
        <v>3.8</v>
      </c>
      <c r="J235" t="b">
        <v>1</v>
      </c>
      <c r="K235">
        <v>33</v>
      </c>
      <c r="L235" t="s">
        <v>21</v>
      </c>
    </row>
    <row r="236" spans="1:12" x14ac:dyDescent="0.35">
      <c r="A236">
        <v>333</v>
      </c>
      <c r="B236" t="s">
        <v>11</v>
      </c>
      <c r="C236">
        <v>36</v>
      </c>
      <c r="D236" t="str">
        <f>IF(Customer_Analytics[[#This Row],[Age]]&lt;=30,"26-30",IF(Customer_Analytics[[#This Row],[Age]]&lt;=35,"31-35",IF(Customer_Analytics[[#This Row],[Age]]&lt;=40,"36-40","41-45")))</f>
        <v>36-40</v>
      </c>
      <c r="E236" t="s">
        <v>24</v>
      </c>
      <c r="F236" t="s">
        <v>20</v>
      </c>
      <c r="G236" s="2">
        <v>460.5</v>
      </c>
      <c r="H236">
        <v>8</v>
      </c>
      <c r="I236">
        <v>3.1</v>
      </c>
      <c r="J236" t="b">
        <v>0</v>
      </c>
      <c r="K236">
        <v>19</v>
      </c>
      <c r="L236" t="s">
        <v>18</v>
      </c>
    </row>
    <row r="237" spans="1:12" x14ac:dyDescent="0.35">
      <c r="A237">
        <v>334</v>
      </c>
      <c r="B237" t="s">
        <v>11</v>
      </c>
      <c r="C237">
        <v>30</v>
      </c>
      <c r="D237" t="str">
        <f>IF(Customer_Analytics[[#This Row],[Age]]&lt;=30,"26-30",IF(Customer_Analytics[[#This Row],[Age]]&lt;=35,"31-35",IF(Customer_Analytics[[#This Row],[Age]]&lt;=40,"36-40","41-45")))</f>
        <v>26-30</v>
      </c>
      <c r="E237" t="s">
        <v>12</v>
      </c>
      <c r="F237" t="s">
        <v>13</v>
      </c>
      <c r="G237" s="2">
        <v>1190.8</v>
      </c>
      <c r="H237">
        <v>16</v>
      </c>
      <c r="I237">
        <v>4.5</v>
      </c>
      <c r="J237" t="b">
        <v>1</v>
      </c>
      <c r="K237">
        <v>20</v>
      </c>
      <c r="L237" t="s">
        <v>14</v>
      </c>
    </row>
    <row r="238" spans="1:12" x14ac:dyDescent="0.35">
      <c r="A238">
        <v>335</v>
      </c>
      <c r="B238" t="s">
        <v>15</v>
      </c>
      <c r="C238">
        <v>33</v>
      </c>
      <c r="D238" t="str">
        <f>IF(Customer_Analytics[[#This Row],[Age]]&lt;=30,"26-30",IF(Customer_Analytics[[#This Row],[Age]]&lt;=35,"31-35",IF(Customer_Analytics[[#This Row],[Age]]&lt;=40,"36-40","41-45")))</f>
        <v>31-35</v>
      </c>
      <c r="E238" t="s">
        <v>16</v>
      </c>
      <c r="F238" t="s">
        <v>17</v>
      </c>
      <c r="G238" s="2">
        <v>830.75</v>
      </c>
      <c r="H238">
        <v>13</v>
      </c>
      <c r="I238">
        <v>4.2</v>
      </c>
      <c r="J238" t="b">
        <v>0</v>
      </c>
      <c r="K238">
        <v>14</v>
      </c>
      <c r="L238" t="s">
        <v>14</v>
      </c>
    </row>
    <row r="239" spans="1:12" x14ac:dyDescent="0.35">
      <c r="A239">
        <v>336</v>
      </c>
      <c r="B239" t="s">
        <v>11</v>
      </c>
      <c r="C239">
        <v>42</v>
      </c>
      <c r="D239" t="str">
        <f>IF(Customer_Analytics[[#This Row],[Age]]&lt;=30,"26-30",IF(Customer_Analytics[[#This Row],[Age]]&lt;=35,"31-35",IF(Customer_Analytics[[#This Row],[Age]]&lt;=40,"36-40","41-45")))</f>
        <v>41-45</v>
      </c>
      <c r="E239" t="s">
        <v>19</v>
      </c>
      <c r="F239" t="s">
        <v>20</v>
      </c>
      <c r="G239" s="2">
        <v>520.4</v>
      </c>
      <c r="H239">
        <v>9</v>
      </c>
      <c r="I239">
        <v>3.5</v>
      </c>
      <c r="J239" t="b">
        <v>1</v>
      </c>
      <c r="K239">
        <v>37</v>
      </c>
      <c r="L239" t="s">
        <v>21</v>
      </c>
    </row>
    <row r="240" spans="1:12" x14ac:dyDescent="0.35">
      <c r="A240">
        <v>337</v>
      </c>
      <c r="B240" t="s">
        <v>15</v>
      </c>
      <c r="C240">
        <v>29</v>
      </c>
      <c r="D240" t="str">
        <f>IF(Customer_Analytics[[#This Row],[Age]]&lt;=30,"26-30",IF(Customer_Analytics[[#This Row],[Age]]&lt;=35,"31-35",IF(Customer_Analytics[[#This Row],[Age]]&lt;=40,"36-40","41-45")))</f>
        <v>26-30</v>
      </c>
      <c r="E240" t="s">
        <v>22</v>
      </c>
      <c r="F240" t="s">
        <v>13</v>
      </c>
      <c r="G240" s="2">
        <v>1370.2</v>
      </c>
      <c r="H240">
        <v>18</v>
      </c>
      <c r="I240">
        <v>4.7</v>
      </c>
      <c r="J240" t="b">
        <v>0</v>
      </c>
      <c r="K240">
        <v>10</v>
      </c>
      <c r="L240" t="s">
        <v>14</v>
      </c>
    </row>
    <row r="241" spans="1:12" x14ac:dyDescent="0.35">
      <c r="A241">
        <v>338</v>
      </c>
      <c r="B241" t="s">
        <v>15</v>
      </c>
      <c r="C241">
        <v>26</v>
      </c>
      <c r="D241" t="str">
        <f>IF(Customer_Analytics[[#This Row],[Age]]&lt;=30,"26-30",IF(Customer_Analytics[[#This Row],[Age]]&lt;=35,"31-35",IF(Customer_Analytics[[#This Row],[Age]]&lt;=40,"36-40","41-45")))</f>
        <v>26-30</v>
      </c>
      <c r="E241" t="s">
        <v>23</v>
      </c>
      <c r="F241" t="s">
        <v>17</v>
      </c>
      <c r="G241" s="2">
        <v>690.6</v>
      </c>
      <c r="H241">
        <v>12</v>
      </c>
      <c r="I241">
        <v>3.9</v>
      </c>
      <c r="J241" t="b">
        <v>1</v>
      </c>
      <c r="K241">
        <v>47</v>
      </c>
      <c r="L241" t="s">
        <v>21</v>
      </c>
    </row>
    <row r="242" spans="1:12" x14ac:dyDescent="0.35">
      <c r="A242">
        <v>339</v>
      </c>
      <c r="B242" t="s">
        <v>11</v>
      </c>
      <c r="C242">
        <v>38</v>
      </c>
      <c r="D242" t="str">
        <f>IF(Customer_Analytics[[#This Row],[Age]]&lt;=30,"26-30",IF(Customer_Analytics[[#This Row],[Age]]&lt;=35,"31-35",IF(Customer_Analytics[[#This Row],[Age]]&lt;=40,"36-40","41-45")))</f>
        <v>36-40</v>
      </c>
      <c r="E242" t="s">
        <v>24</v>
      </c>
      <c r="F242" t="s">
        <v>20</v>
      </c>
      <c r="G242" s="2">
        <v>440.9</v>
      </c>
      <c r="H242">
        <v>8</v>
      </c>
      <c r="I242">
        <v>3.2</v>
      </c>
      <c r="J242" t="b">
        <v>0</v>
      </c>
      <c r="K242">
        <v>24</v>
      </c>
      <c r="L242" t="s">
        <v>18</v>
      </c>
    </row>
    <row r="243" spans="1:12" x14ac:dyDescent="0.35">
      <c r="A243">
        <v>340</v>
      </c>
      <c r="B243" t="s">
        <v>11</v>
      </c>
      <c r="C243">
        <v>32</v>
      </c>
      <c r="D243" t="str">
        <f>IF(Customer_Analytics[[#This Row],[Age]]&lt;=30,"26-30",IF(Customer_Analytics[[#This Row],[Age]]&lt;=35,"31-35",IF(Customer_Analytics[[#This Row],[Age]]&lt;=40,"36-40","41-45")))</f>
        <v>31-35</v>
      </c>
      <c r="E243" t="s">
        <v>12</v>
      </c>
      <c r="F243" t="s">
        <v>13</v>
      </c>
      <c r="G243" s="2">
        <v>1160.3</v>
      </c>
      <c r="H243">
        <v>14</v>
      </c>
      <c r="I243">
        <v>4.4000000000000004</v>
      </c>
      <c r="J243" t="b">
        <v>1</v>
      </c>
      <c r="K243">
        <v>22</v>
      </c>
      <c r="L243" t="s">
        <v>14</v>
      </c>
    </row>
    <row r="244" spans="1:12" x14ac:dyDescent="0.35">
      <c r="A244">
        <v>341</v>
      </c>
      <c r="B244" t="s">
        <v>15</v>
      </c>
      <c r="C244">
        <v>34</v>
      </c>
      <c r="D244" t="str">
        <f>IF(Customer_Analytics[[#This Row],[Age]]&lt;=30,"26-30",IF(Customer_Analytics[[#This Row],[Age]]&lt;=35,"31-35",IF(Customer_Analytics[[#This Row],[Age]]&lt;=40,"36-40","41-45")))</f>
        <v>31-35</v>
      </c>
      <c r="E244" t="s">
        <v>16</v>
      </c>
      <c r="F244" t="s">
        <v>17</v>
      </c>
      <c r="G244" s="2">
        <v>800.2</v>
      </c>
      <c r="H244">
        <v>11</v>
      </c>
      <c r="I244">
        <v>4.0999999999999996</v>
      </c>
      <c r="J244" t="b">
        <v>0</v>
      </c>
      <c r="K244">
        <v>17</v>
      </c>
      <c r="L244" t="s">
        <v>18</v>
      </c>
    </row>
    <row r="245" spans="1:12" x14ac:dyDescent="0.35">
      <c r="A245">
        <v>342</v>
      </c>
      <c r="B245" t="s">
        <v>11</v>
      </c>
      <c r="C245">
        <v>43</v>
      </c>
      <c r="D245" t="str">
        <f>IF(Customer_Analytics[[#This Row],[Age]]&lt;=30,"26-30",IF(Customer_Analytics[[#This Row],[Age]]&lt;=35,"31-35",IF(Customer_Analytics[[#This Row],[Age]]&lt;=40,"36-40","41-45")))</f>
        <v>41-45</v>
      </c>
      <c r="E245" t="s">
        <v>19</v>
      </c>
      <c r="F245" t="s">
        <v>20</v>
      </c>
      <c r="G245" s="2">
        <v>525.75</v>
      </c>
      <c r="H245">
        <v>9</v>
      </c>
      <c r="I245">
        <v>3.3</v>
      </c>
      <c r="J245" t="b">
        <v>1</v>
      </c>
      <c r="K245">
        <v>40</v>
      </c>
      <c r="L245" t="s">
        <v>21</v>
      </c>
    </row>
    <row r="246" spans="1:12" x14ac:dyDescent="0.35">
      <c r="A246">
        <v>343</v>
      </c>
      <c r="B246" t="s">
        <v>15</v>
      </c>
      <c r="C246">
        <v>30</v>
      </c>
      <c r="D246" t="str">
        <f>IF(Customer_Analytics[[#This Row],[Age]]&lt;=30,"26-30",IF(Customer_Analytics[[#This Row],[Age]]&lt;=35,"31-35",IF(Customer_Analytics[[#This Row],[Age]]&lt;=40,"36-40","41-45")))</f>
        <v>26-30</v>
      </c>
      <c r="E246" t="s">
        <v>22</v>
      </c>
      <c r="F246" t="s">
        <v>13</v>
      </c>
      <c r="G246" s="2">
        <v>1460.5</v>
      </c>
      <c r="H246">
        <v>20</v>
      </c>
      <c r="I246">
        <v>4.8</v>
      </c>
      <c r="J246" t="b">
        <v>0</v>
      </c>
      <c r="K246">
        <v>11</v>
      </c>
      <c r="L246" t="s">
        <v>14</v>
      </c>
    </row>
    <row r="247" spans="1:12" x14ac:dyDescent="0.35">
      <c r="A247">
        <v>344</v>
      </c>
      <c r="B247" t="s">
        <v>15</v>
      </c>
      <c r="C247">
        <v>27</v>
      </c>
      <c r="D247" t="str">
        <f>IF(Customer_Analytics[[#This Row],[Age]]&lt;=30,"26-30",IF(Customer_Analytics[[#This Row],[Age]]&lt;=35,"31-35",IF(Customer_Analytics[[#This Row],[Age]]&lt;=40,"36-40","41-45")))</f>
        <v>26-30</v>
      </c>
      <c r="E247" t="s">
        <v>23</v>
      </c>
      <c r="F247" t="s">
        <v>17</v>
      </c>
      <c r="G247" s="2">
        <v>720.4</v>
      </c>
      <c r="H247">
        <v>13</v>
      </c>
      <c r="I247">
        <v>4</v>
      </c>
      <c r="J247" t="b">
        <v>1</v>
      </c>
      <c r="K247">
        <v>55</v>
      </c>
      <c r="L247" t="s">
        <v>21</v>
      </c>
    </row>
    <row r="248" spans="1:12" x14ac:dyDescent="0.35">
      <c r="A248">
        <v>345</v>
      </c>
      <c r="B248" t="s">
        <v>11</v>
      </c>
      <c r="C248">
        <v>37</v>
      </c>
      <c r="D248" t="str">
        <f>IF(Customer_Analytics[[#This Row],[Age]]&lt;=30,"26-30",IF(Customer_Analytics[[#This Row],[Age]]&lt;=35,"31-35",IF(Customer_Analytics[[#This Row],[Age]]&lt;=40,"36-40","41-45")))</f>
        <v>36-40</v>
      </c>
      <c r="E248" t="s">
        <v>24</v>
      </c>
      <c r="F248" t="s">
        <v>20</v>
      </c>
      <c r="G248" s="2">
        <v>440.8</v>
      </c>
      <c r="H248">
        <v>7</v>
      </c>
      <c r="I248">
        <v>3.2</v>
      </c>
      <c r="J248" t="b">
        <v>0</v>
      </c>
      <c r="K248">
        <v>25</v>
      </c>
      <c r="L248" t="s">
        <v>18</v>
      </c>
    </row>
    <row r="249" spans="1:12" x14ac:dyDescent="0.35">
      <c r="A249">
        <v>346</v>
      </c>
      <c r="B249" t="s">
        <v>11</v>
      </c>
      <c r="C249">
        <v>31</v>
      </c>
      <c r="D249" t="str">
        <f>IF(Customer_Analytics[[#This Row],[Age]]&lt;=30,"26-30",IF(Customer_Analytics[[#This Row],[Age]]&lt;=35,"31-35",IF(Customer_Analytics[[#This Row],[Age]]&lt;=40,"36-40","41-45")))</f>
        <v>31-35</v>
      </c>
      <c r="E249" t="s">
        <v>12</v>
      </c>
      <c r="F249" t="s">
        <v>13</v>
      </c>
      <c r="G249" s="2">
        <v>1150.5999999999999</v>
      </c>
      <c r="H249">
        <v>15</v>
      </c>
      <c r="I249">
        <v>4.5</v>
      </c>
      <c r="J249" t="b">
        <v>1</v>
      </c>
      <c r="K249">
        <v>28</v>
      </c>
      <c r="L249" t="s">
        <v>14</v>
      </c>
    </row>
    <row r="250" spans="1:12" x14ac:dyDescent="0.35">
      <c r="A250">
        <v>347</v>
      </c>
      <c r="B250" t="s">
        <v>15</v>
      </c>
      <c r="C250">
        <v>35</v>
      </c>
      <c r="D250" t="str">
        <f>IF(Customer_Analytics[[#This Row],[Age]]&lt;=30,"26-30",IF(Customer_Analytics[[#This Row],[Age]]&lt;=35,"31-35",IF(Customer_Analytics[[#This Row],[Age]]&lt;=40,"36-40","41-45")))</f>
        <v>31-35</v>
      </c>
      <c r="E250" t="s">
        <v>16</v>
      </c>
      <c r="F250" t="s">
        <v>17</v>
      </c>
      <c r="G250" s="2">
        <v>830.9</v>
      </c>
      <c r="H250">
        <v>12</v>
      </c>
      <c r="I250">
        <v>4.3</v>
      </c>
      <c r="J250" t="b">
        <v>0</v>
      </c>
      <c r="K250">
        <v>14</v>
      </c>
      <c r="L250" t="s">
        <v>18</v>
      </c>
    </row>
    <row r="251" spans="1:12" x14ac:dyDescent="0.35">
      <c r="A251">
        <v>348</v>
      </c>
      <c r="B251" t="s">
        <v>11</v>
      </c>
      <c r="C251">
        <v>41</v>
      </c>
      <c r="D251" t="str">
        <f>IF(Customer_Analytics[[#This Row],[Age]]&lt;=30,"26-30",IF(Customer_Analytics[[#This Row],[Age]]&lt;=35,"31-35",IF(Customer_Analytics[[#This Row],[Age]]&lt;=40,"36-40","41-45")))</f>
        <v>41-45</v>
      </c>
      <c r="E251" t="s">
        <v>19</v>
      </c>
      <c r="F251" t="s">
        <v>20</v>
      </c>
      <c r="G251" s="2">
        <v>490.25</v>
      </c>
      <c r="H251">
        <v>9</v>
      </c>
      <c r="I251">
        <v>3.6</v>
      </c>
      <c r="J251" t="b">
        <v>1</v>
      </c>
      <c r="K251">
        <v>40</v>
      </c>
      <c r="L251" t="s">
        <v>21</v>
      </c>
    </row>
    <row r="252" spans="1:12" x14ac:dyDescent="0.35">
      <c r="A252">
        <v>349</v>
      </c>
      <c r="B252" t="s">
        <v>15</v>
      </c>
      <c r="C252">
        <v>28</v>
      </c>
      <c r="D252" t="str">
        <f>IF(Customer_Analytics[[#This Row],[Age]]&lt;=30,"26-30",IF(Customer_Analytics[[#This Row],[Age]]&lt;=35,"31-35",IF(Customer_Analytics[[#This Row],[Age]]&lt;=40,"36-40","41-45")))</f>
        <v>26-30</v>
      </c>
      <c r="E252" t="s">
        <v>22</v>
      </c>
      <c r="F252" t="s">
        <v>13</v>
      </c>
      <c r="G252" s="2">
        <v>1480.1</v>
      </c>
      <c r="H252">
        <v>21</v>
      </c>
      <c r="I252">
        <v>4.9000000000000004</v>
      </c>
      <c r="J252" t="b">
        <v>0</v>
      </c>
      <c r="K252">
        <v>10</v>
      </c>
      <c r="L252" t="s">
        <v>14</v>
      </c>
    </row>
    <row r="253" spans="1:12" x14ac:dyDescent="0.35">
      <c r="A253">
        <v>350</v>
      </c>
      <c r="B253" t="s">
        <v>15</v>
      </c>
      <c r="C253">
        <v>32</v>
      </c>
      <c r="D253" t="str">
        <f>IF(Customer_Analytics[[#This Row],[Age]]&lt;=30,"26-30",IF(Customer_Analytics[[#This Row],[Age]]&lt;=35,"31-35",IF(Customer_Analytics[[#This Row],[Age]]&lt;=40,"36-40","41-45")))</f>
        <v>31-35</v>
      </c>
      <c r="E253" t="s">
        <v>23</v>
      </c>
      <c r="F253" t="s">
        <v>17</v>
      </c>
      <c r="G253" s="2">
        <v>690.3</v>
      </c>
      <c r="H253">
        <v>10</v>
      </c>
      <c r="I253">
        <v>3.8</v>
      </c>
      <c r="J253" t="b">
        <v>1</v>
      </c>
      <c r="K253">
        <v>34</v>
      </c>
      <c r="L253" t="s">
        <v>21</v>
      </c>
    </row>
    <row r="254" spans="1:12" x14ac:dyDescent="0.35">
      <c r="A254">
        <v>351</v>
      </c>
      <c r="B254" t="s">
        <v>11</v>
      </c>
      <c r="C254">
        <v>36</v>
      </c>
      <c r="D254" t="str">
        <f>IF(Customer_Analytics[[#This Row],[Age]]&lt;=30,"26-30",IF(Customer_Analytics[[#This Row],[Age]]&lt;=35,"31-35",IF(Customer_Analytics[[#This Row],[Age]]&lt;=40,"36-40","41-45")))</f>
        <v>36-40</v>
      </c>
      <c r="E254" t="s">
        <v>24</v>
      </c>
      <c r="F254" t="s">
        <v>20</v>
      </c>
      <c r="G254" s="2">
        <v>480.5</v>
      </c>
      <c r="H254">
        <v>8</v>
      </c>
      <c r="I254">
        <v>3.1</v>
      </c>
      <c r="J254" t="b">
        <v>0</v>
      </c>
      <c r="K254">
        <v>20</v>
      </c>
      <c r="L254" t="s">
        <v>18</v>
      </c>
    </row>
    <row r="255" spans="1:12" x14ac:dyDescent="0.35">
      <c r="A255">
        <v>352</v>
      </c>
      <c r="B255" t="s">
        <v>11</v>
      </c>
      <c r="C255">
        <v>30</v>
      </c>
      <c r="D255" t="str">
        <f>IF(Customer_Analytics[[#This Row],[Age]]&lt;=30,"26-30",IF(Customer_Analytics[[#This Row],[Age]]&lt;=35,"31-35",IF(Customer_Analytics[[#This Row],[Age]]&lt;=40,"36-40","41-45")))</f>
        <v>26-30</v>
      </c>
      <c r="E255" t="s">
        <v>12</v>
      </c>
      <c r="F255" t="s">
        <v>13</v>
      </c>
      <c r="G255" s="2">
        <v>1170.8</v>
      </c>
      <c r="H255">
        <v>16</v>
      </c>
      <c r="I255">
        <v>4.7</v>
      </c>
      <c r="J255" t="b">
        <v>1</v>
      </c>
      <c r="K255">
        <v>21</v>
      </c>
      <c r="L255" t="s">
        <v>14</v>
      </c>
    </row>
    <row r="256" spans="1:12" x14ac:dyDescent="0.35">
      <c r="A256">
        <v>353</v>
      </c>
      <c r="B256" t="s">
        <v>15</v>
      </c>
      <c r="C256">
        <v>34</v>
      </c>
      <c r="D256" t="str">
        <f>IF(Customer_Analytics[[#This Row],[Age]]&lt;=30,"26-30",IF(Customer_Analytics[[#This Row],[Age]]&lt;=35,"31-35",IF(Customer_Analytics[[#This Row],[Age]]&lt;=40,"36-40","41-45")))</f>
        <v>31-35</v>
      </c>
      <c r="E256" t="s">
        <v>16</v>
      </c>
      <c r="F256" t="s">
        <v>17</v>
      </c>
      <c r="G256" s="2">
        <v>790.2</v>
      </c>
      <c r="H256">
        <v>11</v>
      </c>
      <c r="I256">
        <v>4</v>
      </c>
      <c r="J256" t="b">
        <v>0</v>
      </c>
      <c r="K256">
        <v>15</v>
      </c>
      <c r="L256" t="s">
        <v>18</v>
      </c>
    </row>
    <row r="257" spans="1:12" x14ac:dyDescent="0.35">
      <c r="A257">
        <v>354</v>
      </c>
      <c r="B257" t="s">
        <v>11</v>
      </c>
      <c r="C257">
        <v>43</v>
      </c>
      <c r="D257" t="str">
        <f>IF(Customer_Analytics[[#This Row],[Age]]&lt;=30,"26-30",IF(Customer_Analytics[[#This Row],[Age]]&lt;=35,"31-35",IF(Customer_Analytics[[#This Row],[Age]]&lt;=40,"36-40","41-45")))</f>
        <v>41-45</v>
      </c>
      <c r="E257" t="s">
        <v>19</v>
      </c>
      <c r="F257" t="s">
        <v>20</v>
      </c>
      <c r="G257" s="2">
        <v>510.75</v>
      </c>
      <c r="H257">
        <v>10</v>
      </c>
      <c r="I257">
        <v>3.3</v>
      </c>
      <c r="J257" t="b">
        <v>1</v>
      </c>
      <c r="K257">
        <v>41</v>
      </c>
      <c r="L257" t="s">
        <v>21</v>
      </c>
    </row>
    <row r="258" spans="1:12" x14ac:dyDescent="0.35">
      <c r="A258">
        <v>355</v>
      </c>
      <c r="B258" t="s">
        <v>15</v>
      </c>
      <c r="C258">
        <v>30</v>
      </c>
      <c r="D258" t="str">
        <f>IF(Customer_Analytics[[#This Row],[Age]]&lt;=30,"26-30",IF(Customer_Analytics[[#This Row],[Age]]&lt;=35,"31-35",IF(Customer_Analytics[[#This Row],[Age]]&lt;=40,"36-40","41-45")))</f>
        <v>26-30</v>
      </c>
      <c r="E258" t="s">
        <v>22</v>
      </c>
      <c r="F258" t="s">
        <v>13</v>
      </c>
      <c r="G258" s="2">
        <v>1440.5</v>
      </c>
      <c r="H258">
        <v>19</v>
      </c>
      <c r="I258">
        <v>4.5999999999999996</v>
      </c>
      <c r="J258" t="b">
        <v>0</v>
      </c>
      <c r="K258">
        <v>12</v>
      </c>
      <c r="L258" t="s">
        <v>14</v>
      </c>
    </row>
    <row r="259" spans="1:12" x14ac:dyDescent="0.35">
      <c r="A259">
        <v>356</v>
      </c>
      <c r="B259" t="s">
        <v>15</v>
      </c>
      <c r="C259">
        <v>27</v>
      </c>
      <c r="D259" t="str">
        <f>IF(Customer_Analytics[[#This Row],[Age]]&lt;=30,"26-30",IF(Customer_Analytics[[#This Row],[Age]]&lt;=35,"31-35",IF(Customer_Analytics[[#This Row],[Age]]&lt;=40,"36-40","41-45")))</f>
        <v>26-30</v>
      </c>
      <c r="E259" t="s">
        <v>23</v>
      </c>
      <c r="F259" t="s">
        <v>17</v>
      </c>
      <c r="G259" s="2">
        <v>700.4</v>
      </c>
      <c r="H259">
        <v>13</v>
      </c>
      <c r="I259">
        <v>4.0999999999999996</v>
      </c>
      <c r="J259" t="b">
        <v>1</v>
      </c>
      <c r="K259">
        <v>56</v>
      </c>
      <c r="L259" t="s">
        <v>21</v>
      </c>
    </row>
    <row r="260" spans="1:12" x14ac:dyDescent="0.35">
      <c r="A260">
        <v>357</v>
      </c>
      <c r="B260" t="s">
        <v>11</v>
      </c>
      <c r="C260">
        <v>37</v>
      </c>
      <c r="D260" t="str">
        <f>IF(Customer_Analytics[[#This Row],[Age]]&lt;=30,"26-30",IF(Customer_Analytics[[#This Row],[Age]]&lt;=35,"31-35",IF(Customer_Analytics[[#This Row],[Age]]&lt;=40,"36-40","41-45")))</f>
        <v>36-40</v>
      </c>
      <c r="E260" t="s">
        <v>24</v>
      </c>
      <c r="F260" t="s">
        <v>20</v>
      </c>
      <c r="G260" s="2">
        <v>410.8</v>
      </c>
      <c r="H260">
        <v>7</v>
      </c>
      <c r="I260">
        <v>3.4</v>
      </c>
      <c r="J260" t="b">
        <v>0</v>
      </c>
      <c r="K260">
        <v>26</v>
      </c>
      <c r="L260" t="s">
        <v>18</v>
      </c>
    </row>
    <row r="261" spans="1:12" x14ac:dyDescent="0.35">
      <c r="A261">
        <v>358</v>
      </c>
      <c r="B261" t="s">
        <v>11</v>
      </c>
      <c r="C261">
        <v>31</v>
      </c>
      <c r="D261" t="str">
        <f>IF(Customer_Analytics[[#This Row],[Age]]&lt;=30,"26-30",IF(Customer_Analytics[[#This Row],[Age]]&lt;=35,"31-35",IF(Customer_Analytics[[#This Row],[Age]]&lt;=40,"36-40","41-45")))</f>
        <v>31-35</v>
      </c>
      <c r="E261" t="s">
        <v>12</v>
      </c>
      <c r="F261" t="s">
        <v>13</v>
      </c>
      <c r="G261" s="2">
        <v>1160.5999999999999</v>
      </c>
      <c r="H261">
        <v>15</v>
      </c>
      <c r="I261">
        <v>4.5</v>
      </c>
      <c r="J261" t="b">
        <v>1</v>
      </c>
      <c r="K261">
        <v>29</v>
      </c>
      <c r="L261" t="s">
        <v>14</v>
      </c>
    </row>
    <row r="262" spans="1:12" x14ac:dyDescent="0.35">
      <c r="A262">
        <v>359</v>
      </c>
      <c r="B262" t="s">
        <v>15</v>
      </c>
      <c r="C262">
        <v>35</v>
      </c>
      <c r="D262" t="str">
        <f>IF(Customer_Analytics[[#This Row],[Age]]&lt;=30,"26-30",IF(Customer_Analytics[[#This Row],[Age]]&lt;=35,"31-35",IF(Customer_Analytics[[#This Row],[Age]]&lt;=40,"36-40","41-45")))</f>
        <v>31-35</v>
      </c>
      <c r="E262" t="s">
        <v>16</v>
      </c>
      <c r="F262" t="s">
        <v>17</v>
      </c>
      <c r="G262" s="2">
        <v>810.9</v>
      </c>
      <c r="H262">
        <v>12</v>
      </c>
      <c r="I262">
        <v>4.3</v>
      </c>
      <c r="J262" t="b">
        <v>0</v>
      </c>
      <c r="K262">
        <v>14</v>
      </c>
      <c r="L262" t="s">
        <v>18</v>
      </c>
    </row>
    <row r="263" spans="1:12" x14ac:dyDescent="0.35">
      <c r="A263">
        <v>360</v>
      </c>
      <c r="B263" t="s">
        <v>11</v>
      </c>
      <c r="C263">
        <v>41</v>
      </c>
      <c r="D263" t="str">
        <f>IF(Customer_Analytics[[#This Row],[Age]]&lt;=30,"26-30",IF(Customer_Analytics[[#This Row],[Age]]&lt;=35,"31-35",IF(Customer_Analytics[[#This Row],[Age]]&lt;=40,"36-40","41-45")))</f>
        <v>41-45</v>
      </c>
      <c r="E263" t="s">
        <v>19</v>
      </c>
      <c r="F263" t="s">
        <v>20</v>
      </c>
      <c r="G263" s="2">
        <v>495.25</v>
      </c>
      <c r="H263">
        <v>9</v>
      </c>
      <c r="I263">
        <v>3.6</v>
      </c>
      <c r="J263" t="b">
        <v>1</v>
      </c>
      <c r="K263">
        <v>41</v>
      </c>
      <c r="L263" t="s">
        <v>21</v>
      </c>
    </row>
    <row r="264" spans="1:12" x14ac:dyDescent="0.35">
      <c r="A264">
        <v>361</v>
      </c>
      <c r="B264" t="s">
        <v>15</v>
      </c>
      <c r="C264">
        <v>28</v>
      </c>
      <c r="D264" t="str">
        <f>IF(Customer_Analytics[[#This Row],[Age]]&lt;=30,"26-30",IF(Customer_Analytics[[#This Row],[Age]]&lt;=35,"31-35",IF(Customer_Analytics[[#This Row],[Age]]&lt;=40,"36-40","41-45")))</f>
        <v>26-30</v>
      </c>
      <c r="E264" t="s">
        <v>22</v>
      </c>
      <c r="F264" t="s">
        <v>13</v>
      </c>
      <c r="G264" s="2">
        <v>1490.1</v>
      </c>
      <c r="H264">
        <v>21</v>
      </c>
      <c r="I264">
        <v>4.9000000000000004</v>
      </c>
      <c r="J264" t="b">
        <v>0</v>
      </c>
      <c r="K264">
        <v>10</v>
      </c>
      <c r="L264" t="s">
        <v>14</v>
      </c>
    </row>
    <row r="265" spans="1:12" x14ac:dyDescent="0.35">
      <c r="A265">
        <v>362</v>
      </c>
      <c r="B265" t="s">
        <v>15</v>
      </c>
      <c r="C265">
        <v>32</v>
      </c>
      <c r="D265" t="str">
        <f>IF(Customer_Analytics[[#This Row],[Age]]&lt;=30,"26-30",IF(Customer_Analytics[[#This Row],[Age]]&lt;=35,"31-35",IF(Customer_Analytics[[#This Row],[Age]]&lt;=40,"36-40","41-45")))</f>
        <v>31-35</v>
      </c>
      <c r="E265" t="s">
        <v>23</v>
      </c>
      <c r="F265" t="s">
        <v>17</v>
      </c>
      <c r="G265" s="2">
        <v>660.3</v>
      </c>
      <c r="H265">
        <v>10</v>
      </c>
      <c r="I265">
        <v>3.8</v>
      </c>
      <c r="J265" t="b">
        <v>1</v>
      </c>
      <c r="K265">
        <v>35</v>
      </c>
      <c r="L265" t="s">
        <v>21</v>
      </c>
    </row>
    <row r="266" spans="1:12" x14ac:dyDescent="0.35">
      <c r="A266">
        <v>363</v>
      </c>
      <c r="B266" t="s">
        <v>11</v>
      </c>
      <c r="C266">
        <v>36</v>
      </c>
      <c r="D266" t="str">
        <f>IF(Customer_Analytics[[#This Row],[Age]]&lt;=30,"26-30",IF(Customer_Analytics[[#This Row],[Age]]&lt;=35,"31-35",IF(Customer_Analytics[[#This Row],[Age]]&lt;=40,"36-40","41-45")))</f>
        <v>36-40</v>
      </c>
      <c r="E266" t="s">
        <v>24</v>
      </c>
      <c r="F266" t="s">
        <v>20</v>
      </c>
      <c r="G266" s="2">
        <v>430.5</v>
      </c>
      <c r="H266">
        <v>8</v>
      </c>
      <c r="I266">
        <v>3.1</v>
      </c>
      <c r="J266" t="b">
        <v>0</v>
      </c>
      <c r="K266">
        <v>21</v>
      </c>
      <c r="L266" t="s">
        <v>18</v>
      </c>
    </row>
    <row r="267" spans="1:12" x14ac:dyDescent="0.35">
      <c r="A267">
        <v>364</v>
      </c>
      <c r="B267" t="s">
        <v>11</v>
      </c>
      <c r="C267">
        <v>30</v>
      </c>
      <c r="D267" t="str">
        <f>IF(Customer_Analytics[[#This Row],[Age]]&lt;=30,"26-30",IF(Customer_Analytics[[#This Row],[Age]]&lt;=35,"31-35",IF(Customer_Analytics[[#This Row],[Age]]&lt;=40,"36-40","41-45")))</f>
        <v>26-30</v>
      </c>
      <c r="E267" t="s">
        <v>12</v>
      </c>
      <c r="F267" t="s">
        <v>13</v>
      </c>
      <c r="G267" s="2">
        <v>1200.8</v>
      </c>
      <c r="H267">
        <v>16</v>
      </c>
      <c r="I267">
        <v>4.7</v>
      </c>
      <c r="J267" t="b">
        <v>1</v>
      </c>
      <c r="K267">
        <v>22</v>
      </c>
      <c r="L267" t="s">
        <v>14</v>
      </c>
    </row>
    <row r="268" spans="1:12" x14ac:dyDescent="0.35">
      <c r="A268">
        <v>365</v>
      </c>
      <c r="B268" t="s">
        <v>15</v>
      </c>
      <c r="C268">
        <v>34</v>
      </c>
      <c r="D268" t="str">
        <f>IF(Customer_Analytics[[#This Row],[Age]]&lt;=30,"26-30",IF(Customer_Analytics[[#This Row],[Age]]&lt;=35,"31-35",IF(Customer_Analytics[[#This Row],[Age]]&lt;=40,"36-40","41-45")))</f>
        <v>31-35</v>
      </c>
      <c r="E268" t="s">
        <v>16</v>
      </c>
      <c r="F268" t="s">
        <v>17</v>
      </c>
      <c r="G268" s="2">
        <v>780.2</v>
      </c>
      <c r="H268">
        <v>11</v>
      </c>
      <c r="I268">
        <v>4.0999999999999996</v>
      </c>
      <c r="J268" t="b">
        <v>0</v>
      </c>
      <c r="K268">
        <v>16</v>
      </c>
      <c r="L268" t="s">
        <v>18</v>
      </c>
    </row>
    <row r="269" spans="1:12" x14ac:dyDescent="0.35">
      <c r="A269">
        <v>366</v>
      </c>
      <c r="B269" t="s">
        <v>11</v>
      </c>
      <c r="C269">
        <v>43</v>
      </c>
      <c r="D269" t="str">
        <f>IF(Customer_Analytics[[#This Row],[Age]]&lt;=30,"26-30",IF(Customer_Analytics[[#This Row],[Age]]&lt;=35,"31-35",IF(Customer_Analytics[[#This Row],[Age]]&lt;=40,"36-40","41-45")))</f>
        <v>41-45</v>
      </c>
      <c r="E269" t="s">
        <v>19</v>
      </c>
      <c r="F269" t="s">
        <v>20</v>
      </c>
      <c r="G269" s="2">
        <v>505.75</v>
      </c>
      <c r="H269">
        <v>10</v>
      </c>
      <c r="I269">
        <v>3.3</v>
      </c>
      <c r="J269" t="b">
        <v>1</v>
      </c>
      <c r="K269">
        <v>42</v>
      </c>
      <c r="L269" t="s">
        <v>21</v>
      </c>
    </row>
    <row r="270" spans="1:12" x14ac:dyDescent="0.35">
      <c r="A270">
        <v>367</v>
      </c>
      <c r="B270" t="s">
        <v>15</v>
      </c>
      <c r="C270">
        <v>30</v>
      </c>
      <c r="D270" t="str">
        <f>IF(Customer_Analytics[[#This Row],[Age]]&lt;=30,"26-30",IF(Customer_Analytics[[#This Row],[Age]]&lt;=35,"31-35",IF(Customer_Analytics[[#This Row],[Age]]&lt;=40,"36-40","41-45")))</f>
        <v>26-30</v>
      </c>
      <c r="E270" t="s">
        <v>22</v>
      </c>
      <c r="F270" t="s">
        <v>13</v>
      </c>
      <c r="G270" s="2">
        <v>1460.5</v>
      </c>
      <c r="H270">
        <v>20</v>
      </c>
      <c r="I270">
        <v>4.8</v>
      </c>
      <c r="J270" t="b">
        <v>0</v>
      </c>
      <c r="K270">
        <v>13</v>
      </c>
      <c r="L270" t="s">
        <v>14</v>
      </c>
    </row>
    <row r="271" spans="1:12" x14ac:dyDescent="0.35">
      <c r="A271">
        <v>368</v>
      </c>
      <c r="B271" t="s">
        <v>15</v>
      </c>
      <c r="C271">
        <v>27</v>
      </c>
      <c r="D271" t="str">
        <f>IF(Customer_Analytics[[#This Row],[Age]]&lt;=30,"26-30",IF(Customer_Analytics[[#This Row],[Age]]&lt;=35,"31-35",IF(Customer_Analytics[[#This Row],[Age]]&lt;=40,"36-40","41-45")))</f>
        <v>26-30</v>
      </c>
      <c r="E271" t="s">
        <v>23</v>
      </c>
      <c r="F271" t="s">
        <v>17</v>
      </c>
      <c r="G271" s="2">
        <v>710.4</v>
      </c>
      <c r="H271">
        <v>13</v>
      </c>
      <c r="I271">
        <v>4.0999999999999996</v>
      </c>
      <c r="J271" t="b">
        <v>1</v>
      </c>
      <c r="K271">
        <v>57</v>
      </c>
      <c r="L271" t="s">
        <v>21</v>
      </c>
    </row>
    <row r="272" spans="1:12" x14ac:dyDescent="0.35">
      <c r="A272">
        <v>369</v>
      </c>
      <c r="B272" t="s">
        <v>11</v>
      </c>
      <c r="C272">
        <v>37</v>
      </c>
      <c r="D272" t="str">
        <f>IF(Customer_Analytics[[#This Row],[Age]]&lt;=30,"26-30",IF(Customer_Analytics[[#This Row],[Age]]&lt;=35,"31-35",IF(Customer_Analytics[[#This Row],[Age]]&lt;=40,"36-40","41-45")))</f>
        <v>36-40</v>
      </c>
      <c r="E272" t="s">
        <v>24</v>
      </c>
      <c r="F272" t="s">
        <v>20</v>
      </c>
      <c r="G272" s="2">
        <v>450.8</v>
      </c>
      <c r="H272">
        <v>7</v>
      </c>
      <c r="I272">
        <v>3.4</v>
      </c>
      <c r="J272" t="b">
        <v>0</v>
      </c>
      <c r="K272">
        <v>24</v>
      </c>
      <c r="L272" t="s">
        <v>18</v>
      </c>
    </row>
    <row r="273" spans="1:12" x14ac:dyDescent="0.35">
      <c r="A273">
        <v>370</v>
      </c>
      <c r="B273" t="s">
        <v>11</v>
      </c>
      <c r="C273">
        <v>31</v>
      </c>
      <c r="D273" t="str">
        <f>IF(Customer_Analytics[[#This Row],[Age]]&lt;=30,"26-30",IF(Customer_Analytics[[#This Row],[Age]]&lt;=35,"31-35",IF(Customer_Analytics[[#This Row],[Age]]&lt;=40,"36-40","41-45")))</f>
        <v>31-35</v>
      </c>
      <c r="E273" t="s">
        <v>12</v>
      </c>
      <c r="F273" t="s">
        <v>13</v>
      </c>
      <c r="G273" s="2">
        <v>1140.5999999999999</v>
      </c>
      <c r="H273">
        <v>15</v>
      </c>
      <c r="I273">
        <v>4.5</v>
      </c>
      <c r="J273" t="b">
        <v>1</v>
      </c>
      <c r="K273">
        <v>30</v>
      </c>
      <c r="L273" t="s">
        <v>14</v>
      </c>
    </row>
    <row r="274" spans="1:12" x14ac:dyDescent="0.35">
      <c r="A274">
        <v>371</v>
      </c>
      <c r="B274" t="s">
        <v>15</v>
      </c>
      <c r="C274">
        <v>35</v>
      </c>
      <c r="D274" t="str">
        <f>IF(Customer_Analytics[[#This Row],[Age]]&lt;=30,"26-30",IF(Customer_Analytics[[#This Row],[Age]]&lt;=35,"31-35",IF(Customer_Analytics[[#This Row],[Age]]&lt;=40,"36-40","41-45")))</f>
        <v>31-35</v>
      </c>
      <c r="E274" t="s">
        <v>16</v>
      </c>
      <c r="F274" t="s">
        <v>17</v>
      </c>
      <c r="G274" s="2">
        <v>800.9</v>
      </c>
      <c r="H274">
        <v>12</v>
      </c>
      <c r="I274">
        <v>4.0999999999999996</v>
      </c>
      <c r="J274" t="b">
        <v>0</v>
      </c>
      <c r="K274">
        <v>17</v>
      </c>
      <c r="L274" t="s">
        <v>18</v>
      </c>
    </row>
    <row r="275" spans="1:12" x14ac:dyDescent="0.35">
      <c r="A275">
        <v>372</v>
      </c>
      <c r="B275" t="s">
        <v>11</v>
      </c>
      <c r="C275">
        <v>41</v>
      </c>
      <c r="D275" t="str">
        <f>IF(Customer_Analytics[[#This Row],[Age]]&lt;=30,"26-30",IF(Customer_Analytics[[#This Row],[Age]]&lt;=35,"31-35",IF(Customer_Analytics[[#This Row],[Age]]&lt;=40,"36-40","41-45")))</f>
        <v>41-45</v>
      </c>
      <c r="E275" t="s">
        <v>19</v>
      </c>
      <c r="F275" t="s">
        <v>20</v>
      </c>
      <c r="G275" s="2">
        <v>475.25</v>
      </c>
      <c r="H275">
        <v>9</v>
      </c>
      <c r="I275">
        <v>3.6</v>
      </c>
      <c r="J275" t="b">
        <v>1</v>
      </c>
      <c r="K275">
        <v>42</v>
      </c>
      <c r="L275" t="s">
        <v>21</v>
      </c>
    </row>
    <row r="276" spans="1:12" x14ac:dyDescent="0.35">
      <c r="A276">
        <v>373</v>
      </c>
      <c r="B276" t="s">
        <v>15</v>
      </c>
      <c r="C276">
        <v>28</v>
      </c>
      <c r="D276" t="str">
        <f>IF(Customer_Analytics[[#This Row],[Age]]&lt;=30,"26-30",IF(Customer_Analytics[[#This Row],[Age]]&lt;=35,"31-35",IF(Customer_Analytics[[#This Row],[Age]]&lt;=40,"36-40","41-45")))</f>
        <v>26-30</v>
      </c>
      <c r="E276" t="s">
        <v>22</v>
      </c>
      <c r="F276" t="s">
        <v>13</v>
      </c>
      <c r="G276" s="2">
        <v>1480.1</v>
      </c>
      <c r="H276">
        <v>21</v>
      </c>
      <c r="I276">
        <v>4.9000000000000004</v>
      </c>
      <c r="J276" t="b">
        <v>0</v>
      </c>
      <c r="K276">
        <v>11</v>
      </c>
      <c r="L276" t="s">
        <v>14</v>
      </c>
    </row>
    <row r="277" spans="1:12" x14ac:dyDescent="0.35">
      <c r="A277">
        <v>374</v>
      </c>
      <c r="B277" t="s">
        <v>15</v>
      </c>
      <c r="C277">
        <v>32</v>
      </c>
      <c r="D277" t="str">
        <f>IF(Customer_Analytics[[#This Row],[Age]]&lt;=30,"26-30",IF(Customer_Analytics[[#This Row],[Age]]&lt;=35,"31-35",IF(Customer_Analytics[[#This Row],[Age]]&lt;=40,"36-40","41-45")))</f>
        <v>31-35</v>
      </c>
      <c r="E277" t="s">
        <v>23</v>
      </c>
      <c r="F277" t="s">
        <v>17</v>
      </c>
      <c r="G277" s="2">
        <v>660.3</v>
      </c>
      <c r="H277">
        <v>10</v>
      </c>
      <c r="I277">
        <v>3.8</v>
      </c>
      <c r="J277" t="b">
        <v>1</v>
      </c>
      <c r="K277">
        <v>36</v>
      </c>
      <c r="L277" t="s">
        <v>21</v>
      </c>
    </row>
    <row r="278" spans="1:12" x14ac:dyDescent="0.35">
      <c r="A278">
        <v>375</v>
      </c>
      <c r="B278" t="s">
        <v>11</v>
      </c>
      <c r="C278">
        <v>36</v>
      </c>
      <c r="D278" t="str">
        <f>IF(Customer_Analytics[[#This Row],[Age]]&lt;=30,"26-30",IF(Customer_Analytics[[#This Row],[Age]]&lt;=35,"31-35",IF(Customer_Analytics[[#This Row],[Age]]&lt;=40,"36-40","41-45")))</f>
        <v>36-40</v>
      </c>
      <c r="E278" t="s">
        <v>24</v>
      </c>
      <c r="F278" t="s">
        <v>20</v>
      </c>
      <c r="G278" s="2">
        <v>470.5</v>
      </c>
      <c r="H278">
        <v>8</v>
      </c>
      <c r="I278">
        <v>3</v>
      </c>
      <c r="J278" t="b">
        <v>0</v>
      </c>
      <c r="K278">
        <v>22</v>
      </c>
      <c r="L278" t="s">
        <v>18</v>
      </c>
    </row>
    <row r="279" spans="1:12" x14ac:dyDescent="0.35">
      <c r="A279">
        <v>376</v>
      </c>
      <c r="B279" t="s">
        <v>11</v>
      </c>
      <c r="C279">
        <v>30</v>
      </c>
      <c r="D279" t="str">
        <f>IF(Customer_Analytics[[#This Row],[Age]]&lt;=30,"26-30",IF(Customer_Analytics[[#This Row],[Age]]&lt;=35,"31-35",IF(Customer_Analytics[[#This Row],[Age]]&lt;=40,"36-40","41-45")))</f>
        <v>26-30</v>
      </c>
      <c r="E279" t="s">
        <v>12</v>
      </c>
      <c r="F279" t="s">
        <v>13</v>
      </c>
      <c r="G279" s="2">
        <v>1190.8</v>
      </c>
      <c r="H279">
        <v>16</v>
      </c>
      <c r="I279">
        <v>4.5</v>
      </c>
      <c r="J279" t="b">
        <v>1</v>
      </c>
      <c r="K279">
        <v>23</v>
      </c>
      <c r="L279" t="s">
        <v>14</v>
      </c>
    </row>
    <row r="280" spans="1:12" x14ac:dyDescent="0.35">
      <c r="A280">
        <v>377</v>
      </c>
      <c r="B280" t="s">
        <v>15</v>
      </c>
      <c r="C280">
        <v>33</v>
      </c>
      <c r="D280" t="str">
        <f>IF(Customer_Analytics[[#This Row],[Age]]&lt;=30,"26-30",IF(Customer_Analytics[[#This Row],[Age]]&lt;=35,"31-35",IF(Customer_Analytics[[#This Row],[Age]]&lt;=40,"36-40","41-45")))</f>
        <v>31-35</v>
      </c>
      <c r="E280" t="s">
        <v>16</v>
      </c>
      <c r="F280" t="s">
        <v>17</v>
      </c>
      <c r="G280" s="2">
        <v>770.2</v>
      </c>
      <c r="H280">
        <v>11</v>
      </c>
      <c r="I280">
        <v>4.2</v>
      </c>
      <c r="J280" t="b">
        <v>0</v>
      </c>
      <c r="K280">
        <v>18</v>
      </c>
      <c r="L280" t="s">
        <v>18</v>
      </c>
    </row>
    <row r="281" spans="1:12" x14ac:dyDescent="0.35">
      <c r="A281">
        <v>378</v>
      </c>
      <c r="B281" t="s">
        <v>11</v>
      </c>
      <c r="C281">
        <v>43</v>
      </c>
      <c r="D281" t="str">
        <f>IF(Customer_Analytics[[#This Row],[Age]]&lt;=30,"26-30",IF(Customer_Analytics[[#This Row],[Age]]&lt;=35,"31-35",IF(Customer_Analytics[[#This Row],[Age]]&lt;=40,"36-40","41-45")))</f>
        <v>41-45</v>
      </c>
      <c r="E281" t="s">
        <v>19</v>
      </c>
      <c r="F281" t="s">
        <v>20</v>
      </c>
      <c r="G281" s="2">
        <v>515.75</v>
      </c>
      <c r="H281">
        <v>10</v>
      </c>
      <c r="I281">
        <v>3.3</v>
      </c>
      <c r="J281" t="b">
        <v>1</v>
      </c>
      <c r="K281">
        <v>43</v>
      </c>
      <c r="L281" t="s">
        <v>21</v>
      </c>
    </row>
    <row r="282" spans="1:12" x14ac:dyDescent="0.35">
      <c r="A282">
        <v>379</v>
      </c>
      <c r="B282" t="s">
        <v>15</v>
      </c>
      <c r="C282">
        <v>30</v>
      </c>
      <c r="D282" t="str">
        <f>IF(Customer_Analytics[[#This Row],[Age]]&lt;=30,"26-30",IF(Customer_Analytics[[#This Row],[Age]]&lt;=35,"31-35",IF(Customer_Analytics[[#This Row],[Age]]&lt;=40,"36-40","41-45")))</f>
        <v>26-30</v>
      </c>
      <c r="E282" t="s">
        <v>22</v>
      </c>
      <c r="F282" t="s">
        <v>13</v>
      </c>
      <c r="G282" s="2">
        <v>1450.5</v>
      </c>
      <c r="H282">
        <v>19</v>
      </c>
      <c r="I282">
        <v>4.5999999999999996</v>
      </c>
      <c r="J282" t="b">
        <v>0</v>
      </c>
      <c r="K282">
        <v>12</v>
      </c>
      <c r="L282" t="s">
        <v>14</v>
      </c>
    </row>
    <row r="283" spans="1:12" x14ac:dyDescent="0.35">
      <c r="A283">
        <v>380</v>
      </c>
      <c r="B283" t="s">
        <v>15</v>
      </c>
      <c r="C283">
        <v>27</v>
      </c>
      <c r="D283" t="str">
        <f>IF(Customer_Analytics[[#This Row],[Age]]&lt;=30,"26-30",IF(Customer_Analytics[[#This Row],[Age]]&lt;=35,"31-35",IF(Customer_Analytics[[#This Row],[Age]]&lt;=40,"36-40","41-45")))</f>
        <v>26-30</v>
      </c>
      <c r="E283" t="s">
        <v>23</v>
      </c>
      <c r="F283" t="s">
        <v>17</v>
      </c>
      <c r="G283" s="2">
        <v>710.4</v>
      </c>
      <c r="H283">
        <v>13</v>
      </c>
      <c r="I283">
        <v>4.0999999999999996</v>
      </c>
      <c r="J283" t="b">
        <v>1</v>
      </c>
      <c r="K283">
        <v>58</v>
      </c>
      <c r="L283" t="s">
        <v>21</v>
      </c>
    </row>
    <row r="284" spans="1:12" x14ac:dyDescent="0.35">
      <c r="A284">
        <v>381</v>
      </c>
      <c r="B284" t="s">
        <v>11</v>
      </c>
      <c r="C284">
        <v>37</v>
      </c>
      <c r="D284" t="str">
        <f>IF(Customer_Analytics[[#This Row],[Age]]&lt;=30,"26-30",IF(Customer_Analytics[[#This Row],[Age]]&lt;=35,"31-35",IF(Customer_Analytics[[#This Row],[Age]]&lt;=40,"36-40","41-45")))</f>
        <v>36-40</v>
      </c>
      <c r="E284" t="s">
        <v>24</v>
      </c>
      <c r="F284" t="s">
        <v>20</v>
      </c>
      <c r="G284" s="2">
        <v>430.8</v>
      </c>
      <c r="H284">
        <v>7</v>
      </c>
      <c r="I284">
        <v>3.4</v>
      </c>
      <c r="J284" t="b">
        <v>0</v>
      </c>
      <c r="K284">
        <v>27</v>
      </c>
      <c r="L284" t="s">
        <v>18</v>
      </c>
    </row>
    <row r="285" spans="1:12" x14ac:dyDescent="0.35">
      <c r="A285">
        <v>382</v>
      </c>
      <c r="B285" t="s">
        <v>11</v>
      </c>
      <c r="C285">
        <v>31</v>
      </c>
      <c r="D285" t="str">
        <f>IF(Customer_Analytics[[#This Row],[Age]]&lt;=30,"26-30",IF(Customer_Analytics[[#This Row],[Age]]&lt;=35,"31-35",IF(Customer_Analytics[[#This Row],[Age]]&lt;=40,"36-40","41-45")))</f>
        <v>31-35</v>
      </c>
      <c r="E285" t="s">
        <v>12</v>
      </c>
      <c r="F285" t="s">
        <v>13</v>
      </c>
      <c r="G285" s="2">
        <v>1160.5999999999999</v>
      </c>
      <c r="H285">
        <v>15</v>
      </c>
      <c r="I285">
        <v>4.5</v>
      </c>
      <c r="J285" t="b">
        <v>1</v>
      </c>
      <c r="K285">
        <v>31</v>
      </c>
      <c r="L285" t="s">
        <v>14</v>
      </c>
    </row>
    <row r="286" spans="1:12" x14ac:dyDescent="0.35">
      <c r="A286">
        <v>383</v>
      </c>
      <c r="B286" t="s">
        <v>15</v>
      </c>
      <c r="C286">
        <v>35</v>
      </c>
      <c r="D286" t="str">
        <f>IF(Customer_Analytics[[#This Row],[Age]]&lt;=30,"26-30",IF(Customer_Analytics[[#This Row],[Age]]&lt;=35,"31-35",IF(Customer_Analytics[[#This Row],[Age]]&lt;=40,"36-40","41-45")))</f>
        <v>31-35</v>
      </c>
      <c r="E286" t="s">
        <v>16</v>
      </c>
      <c r="F286" t="s">
        <v>17</v>
      </c>
      <c r="G286" s="2">
        <v>820.9</v>
      </c>
      <c r="H286">
        <v>12</v>
      </c>
      <c r="I286">
        <v>4.3</v>
      </c>
      <c r="J286" t="b">
        <v>0</v>
      </c>
      <c r="K286">
        <v>15</v>
      </c>
      <c r="L286" t="s">
        <v>18</v>
      </c>
    </row>
    <row r="287" spans="1:12" x14ac:dyDescent="0.35">
      <c r="A287">
        <v>384</v>
      </c>
      <c r="B287" t="s">
        <v>11</v>
      </c>
      <c r="C287">
        <v>41</v>
      </c>
      <c r="D287" t="str">
        <f>IF(Customer_Analytics[[#This Row],[Age]]&lt;=30,"26-30",IF(Customer_Analytics[[#This Row],[Age]]&lt;=35,"31-35",IF(Customer_Analytics[[#This Row],[Age]]&lt;=40,"36-40","41-45")))</f>
        <v>41-45</v>
      </c>
      <c r="E287" t="s">
        <v>19</v>
      </c>
      <c r="F287" t="s">
        <v>20</v>
      </c>
      <c r="G287" s="2">
        <v>495.25</v>
      </c>
      <c r="H287">
        <v>9</v>
      </c>
      <c r="I287">
        <v>3.6</v>
      </c>
      <c r="J287" t="b">
        <v>1</v>
      </c>
      <c r="K287">
        <v>43</v>
      </c>
      <c r="L287" t="s">
        <v>21</v>
      </c>
    </row>
    <row r="288" spans="1:12" x14ac:dyDescent="0.35">
      <c r="A288">
        <v>385</v>
      </c>
      <c r="B288" t="s">
        <v>15</v>
      </c>
      <c r="C288">
        <v>28</v>
      </c>
      <c r="D288" t="str">
        <f>IF(Customer_Analytics[[#This Row],[Age]]&lt;=30,"26-30",IF(Customer_Analytics[[#This Row],[Age]]&lt;=35,"31-35",IF(Customer_Analytics[[#This Row],[Age]]&lt;=40,"36-40","41-45")))</f>
        <v>26-30</v>
      </c>
      <c r="E288" t="s">
        <v>22</v>
      </c>
      <c r="F288" t="s">
        <v>13</v>
      </c>
      <c r="G288" s="2">
        <v>1490.1</v>
      </c>
      <c r="H288">
        <v>21</v>
      </c>
      <c r="I288">
        <v>4.9000000000000004</v>
      </c>
      <c r="J288" t="b">
        <v>0</v>
      </c>
      <c r="K288">
        <v>10</v>
      </c>
      <c r="L288" t="s">
        <v>14</v>
      </c>
    </row>
    <row r="289" spans="1:12" x14ac:dyDescent="0.35">
      <c r="A289">
        <v>386</v>
      </c>
      <c r="B289" t="s">
        <v>15</v>
      </c>
      <c r="C289">
        <v>32</v>
      </c>
      <c r="D289" t="str">
        <f>IF(Customer_Analytics[[#This Row],[Age]]&lt;=30,"26-30",IF(Customer_Analytics[[#This Row],[Age]]&lt;=35,"31-35",IF(Customer_Analytics[[#This Row],[Age]]&lt;=40,"36-40","41-45")))</f>
        <v>31-35</v>
      </c>
      <c r="E289" t="s">
        <v>23</v>
      </c>
      <c r="F289" t="s">
        <v>17</v>
      </c>
      <c r="G289" s="2">
        <v>660.3</v>
      </c>
      <c r="H289">
        <v>10</v>
      </c>
      <c r="I289">
        <v>3.8</v>
      </c>
      <c r="J289" t="b">
        <v>1</v>
      </c>
      <c r="K289">
        <v>37</v>
      </c>
      <c r="L289" t="s">
        <v>21</v>
      </c>
    </row>
    <row r="290" spans="1:12" x14ac:dyDescent="0.35">
      <c r="A290">
        <v>387</v>
      </c>
      <c r="B290" t="s">
        <v>11</v>
      </c>
      <c r="C290">
        <v>36</v>
      </c>
      <c r="D290" t="str">
        <f>IF(Customer_Analytics[[#This Row],[Age]]&lt;=30,"26-30",IF(Customer_Analytics[[#This Row],[Age]]&lt;=35,"31-35",IF(Customer_Analytics[[#This Row],[Age]]&lt;=40,"36-40","41-45")))</f>
        <v>36-40</v>
      </c>
      <c r="E290" t="s">
        <v>24</v>
      </c>
      <c r="F290" t="s">
        <v>20</v>
      </c>
      <c r="G290" s="2">
        <v>440.5</v>
      </c>
      <c r="H290">
        <v>8</v>
      </c>
      <c r="I290">
        <v>3.1</v>
      </c>
      <c r="J290" t="b">
        <v>0</v>
      </c>
      <c r="K290">
        <v>23</v>
      </c>
      <c r="L290" t="s">
        <v>18</v>
      </c>
    </row>
    <row r="291" spans="1:12" x14ac:dyDescent="0.35">
      <c r="A291">
        <v>388</v>
      </c>
      <c r="B291" t="s">
        <v>11</v>
      </c>
      <c r="C291">
        <v>30</v>
      </c>
      <c r="D291" t="str">
        <f>IF(Customer_Analytics[[#This Row],[Age]]&lt;=30,"26-30",IF(Customer_Analytics[[#This Row],[Age]]&lt;=35,"31-35",IF(Customer_Analytics[[#This Row],[Age]]&lt;=40,"36-40","41-45")))</f>
        <v>26-30</v>
      </c>
      <c r="E291" t="s">
        <v>12</v>
      </c>
      <c r="F291" t="s">
        <v>13</v>
      </c>
      <c r="G291" s="2">
        <v>1200.8</v>
      </c>
      <c r="H291">
        <v>16</v>
      </c>
      <c r="I291">
        <v>4.7</v>
      </c>
      <c r="J291" t="b">
        <v>1</v>
      </c>
      <c r="K291">
        <v>24</v>
      </c>
      <c r="L291" t="s">
        <v>14</v>
      </c>
    </row>
    <row r="292" spans="1:12" x14ac:dyDescent="0.35">
      <c r="A292">
        <v>389</v>
      </c>
      <c r="B292" t="s">
        <v>15</v>
      </c>
      <c r="C292">
        <v>34</v>
      </c>
      <c r="D292" t="str">
        <f>IF(Customer_Analytics[[#This Row],[Age]]&lt;=30,"26-30",IF(Customer_Analytics[[#This Row],[Age]]&lt;=35,"31-35",IF(Customer_Analytics[[#This Row],[Age]]&lt;=40,"36-40","41-45")))</f>
        <v>31-35</v>
      </c>
      <c r="E292" t="s">
        <v>16</v>
      </c>
      <c r="F292" t="s">
        <v>17</v>
      </c>
      <c r="G292" s="2">
        <v>780.2</v>
      </c>
      <c r="H292">
        <v>11</v>
      </c>
      <c r="I292">
        <v>4.0999999999999996</v>
      </c>
      <c r="J292" t="b">
        <v>0</v>
      </c>
      <c r="K292">
        <v>16</v>
      </c>
      <c r="L292" t="s">
        <v>18</v>
      </c>
    </row>
    <row r="293" spans="1:12" x14ac:dyDescent="0.35">
      <c r="A293">
        <v>390</v>
      </c>
      <c r="B293" t="s">
        <v>11</v>
      </c>
      <c r="C293">
        <v>43</v>
      </c>
      <c r="D293" t="str">
        <f>IF(Customer_Analytics[[#This Row],[Age]]&lt;=30,"26-30",IF(Customer_Analytics[[#This Row],[Age]]&lt;=35,"31-35",IF(Customer_Analytics[[#This Row],[Age]]&lt;=40,"36-40","41-45")))</f>
        <v>41-45</v>
      </c>
      <c r="E293" t="s">
        <v>19</v>
      </c>
      <c r="F293" t="s">
        <v>20</v>
      </c>
      <c r="G293" s="2">
        <v>505.75</v>
      </c>
      <c r="H293">
        <v>10</v>
      </c>
      <c r="I293">
        <v>3.3</v>
      </c>
      <c r="J293" t="b">
        <v>1</v>
      </c>
      <c r="K293">
        <v>44</v>
      </c>
      <c r="L293" t="s">
        <v>21</v>
      </c>
    </row>
    <row r="294" spans="1:12" x14ac:dyDescent="0.35">
      <c r="A294">
        <v>391</v>
      </c>
      <c r="B294" t="s">
        <v>15</v>
      </c>
      <c r="C294">
        <v>30</v>
      </c>
      <c r="D294" t="str">
        <f>IF(Customer_Analytics[[#This Row],[Age]]&lt;=30,"26-30",IF(Customer_Analytics[[#This Row],[Age]]&lt;=35,"31-35",IF(Customer_Analytics[[#This Row],[Age]]&lt;=40,"36-40","41-45")))</f>
        <v>26-30</v>
      </c>
      <c r="E294" t="s">
        <v>22</v>
      </c>
      <c r="F294" t="s">
        <v>13</v>
      </c>
      <c r="G294" s="2">
        <v>1460.5</v>
      </c>
      <c r="H294">
        <v>20</v>
      </c>
      <c r="I294">
        <v>4.8</v>
      </c>
      <c r="J294" t="b">
        <v>0</v>
      </c>
      <c r="K294">
        <v>13</v>
      </c>
      <c r="L294" t="s">
        <v>14</v>
      </c>
    </row>
    <row r="295" spans="1:12" x14ac:dyDescent="0.35">
      <c r="A295">
        <v>392</v>
      </c>
      <c r="B295" t="s">
        <v>15</v>
      </c>
      <c r="C295">
        <v>27</v>
      </c>
      <c r="D295" t="str">
        <f>IF(Customer_Analytics[[#This Row],[Age]]&lt;=30,"26-30",IF(Customer_Analytics[[#This Row],[Age]]&lt;=35,"31-35",IF(Customer_Analytics[[#This Row],[Age]]&lt;=40,"36-40","41-45")))</f>
        <v>26-30</v>
      </c>
      <c r="E295" t="s">
        <v>23</v>
      </c>
      <c r="F295" t="s">
        <v>17</v>
      </c>
      <c r="G295" s="2">
        <v>710.4</v>
      </c>
      <c r="H295">
        <v>13</v>
      </c>
      <c r="I295">
        <v>4.0999999999999996</v>
      </c>
      <c r="J295" t="b">
        <v>1</v>
      </c>
      <c r="K295">
        <v>59</v>
      </c>
      <c r="L295" t="s">
        <v>21</v>
      </c>
    </row>
    <row r="296" spans="1:12" x14ac:dyDescent="0.35">
      <c r="A296">
        <v>393</v>
      </c>
      <c r="B296" t="s">
        <v>11</v>
      </c>
      <c r="C296">
        <v>37</v>
      </c>
      <c r="D296" t="str">
        <f>IF(Customer_Analytics[[#This Row],[Age]]&lt;=30,"26-30",IF(Customer_Analytics[[#This Row],[Age]]&lt;=35,"31-35",IF(Customer_Analytics[[#This Row],[Age]]&lt;=40,"36-40","41-45")))</f>
        <v>36-40</v>
      </c>
      <c r="E296" t="s">
        <v>24</v>
      </c>
      <c r="F296" t="s">
        <v>20</v>
      </c>
      <c r="G296" s="2">
        <v>450.8</v>
      </c>
      <c r="H296">
        <v>7</v>
      </c>
      <c r="I296">
        <v>3.4</v>
      </c>
      <c r="J296" t="b">
        <v>0</v>
      </c>
      <c r="K296">
        <v>28</v>
      </c>
      <c r="L296" t="s">
        <v>18</v>
      </c>
    </row>
    <row r="297" spans="1:12" x14ac:dyDescent="0.35">
      <c r="A297">
        <v>394</v>
      </c>
      <c r="B297" t="s">
        <v>11</v>
      </c>
      <c r="C297">
        <v>31</v>
      </c>
      <c r="D297" t="str">
        <f>IF(Customer_Analytics[[#This Row],[Age]]&lt;=30,"26-30",IF(Customer_Analytics[[#This Row],[Age]]&lt;=35,"31-35",IF(Customer_Analytics[[#This Row],[Age]]&lt;=40,"36-40","41-45")))</f>
        <v>31-35</v>
      </c>
      <c r="E297" t="s">
        <v>12</v>
      </c>
      <c r="F297" t="s">
        <v>13</v>
      </c>
      <c r="G297" s="2">
        <v>1140.5999999999999</v>
      </c>
      <c r="H297">
        <v>15</v>
      </c>
      <c r="I297">
        <v>4.5</v>
      </c>
      <c r="J297" t="b">
        <v>1</v>
      </c>
      <c r="K297">
        <v>32</v>
      </c>
      <c r="L297" t="s">
        <v>14</v>
      </c>
    </row>
    <row r="298" spans="1:12" x14ac:dyDescent="0.35">
      <c r="A298">
        <v>395</v>
      </c>
      <c r="B298" t="s">
        <v>15</v>
      </c>
      <c r="C298">
        <v>35</v>
      </c>
      <c r="D298" t="str">
        <f>IF(Customer_Analytics[[#This Row],[Age]]&lt;=30,"26-30",IF(Customer_Analytics[[#This Row],[Age]]&lt;=35,"31-35",IF(Customer_Analytics[[#This Row],[Age]]&lt;=40,"36-40","41-45")))</f>
        <v>31-35</v>
      </c>
      <c r="E298" t="s">
        <v>16</v>
      </c>
      <c r="F298" t="s">
        <v>17</v>
      </c>
      <c r="G298" s="2">
        <v>800.9</v>
      </c>
      <c r="H298">
        <v>12</v>
      </c>
      <c r="I298">
        <v>4.0999999999999996</v>
      </c>
      <c r="J298" t="b">
        <v>0</v>
      </c>
      <c r="K298">
        <v>17</v>
      </c>
      <c r="L298" t="s">
        <v>18</v>
      </c>
    </row>
    <row r="299" spans="1:12" x14ac:dyDescent="0.35">
      <c r="A299">
        <v>396</v>
      </c>
      <c r="B299" t="s">
        <v>11</v>
      </c>
      <c r="C299">
        <v>41</v>
      </c>
      <c r="D299" t="str">
        <f>IF(Customer_Analytics[[#This Row],[Age]]&lt;=30,"26-30",IF(Customer_Analytics[[#This Row],[Age]]&lt;=35,"31-35",IF(Customer_Analytics[[#This Row],[Age]]&lt;=40,"36-40","41-45")))</f>
        <v>41-45</v>
      </c>
      <c r="E299" t="s">
        <v>19</v>
      </c>
      <c r="F299" t="s">
        <v>20</v>
      </c>
      <c r="G299" s="2">
        <v>475.25</v>
      </c>
      <c r="H299">
        <v>9</v>
      </c>
      <c r="I299">
        <v>3.6</v>
      </c>
      <c r="J299" t="b">
        <v>1</v>
      </c>
      <c r="K299">
        <v>44</v>
      </c>
      <c r="L299" t="s">
        <v>21</v>
      </c>
    </row>
    <row r="300" spans="1:12" x14ac:dyDescent="0.35">
      <c r="A300">
        <v>397</v>
      </c>
      <c r="B300" t="s">
        <v>15</v>
      </c>
      <c r="C300">
        <v>28</v>
      </c>
      <c r="D300" t="str">
        <f>IF(Customer_Analytics[[#This Row],[Age]]&lt;=30,"26-30",IF(Customer_Analytics[[#This Row],[Age]]&lt;=35,"31-35",IF(Customer_Analytics[[#This Row],[Age]]&lt;=40,"36-40","41-45")))</f>
        <v>26-30</v>
      </c>
      <c r="E300" t="s">
        <v>22</v>
      </c>
      <c r="F300" t="s">
        <v>13</v>
      </c>
      <c r="G300" s="2">
        <v>1480.1</v>
      </c>
      <c r="H300">
        <v>21</v>
      </c>
      <c r="I300">
        <v>4.9000000000000004</v>
      </c>
      <c r="J300" t="b">
        <v>0</v>
      </c>
      <c r="K300">
        <v>12</v>
      </c>
      <c r="L300" t="s">
        <v>14</v>
      </c>
    </row>
    <row r="301" spans="1:12" x14ac:dyDescent="0.35">
      <c r="A301">
        <v>398</v>
      </c>
      <c r="B301" t="s">
        <v>15</v>
      </c>
      <c r="C301">
        <v>32</v>
      </c>
      <c r="D301" t="str">
        <f>IF(Customer_Analytics[[#This Row],[Age]]&lt;=30,"26-30",IF(Customer_Analytics[[#This Row],[Age]]&lt;=35,"31-35",IF(Customer_Analytics[[#This Row],[Age]]&lt;=40,"36-40","41-45")))</f>
        <v>31-35</v>
      </c>
      <c r="E301" t="s">
        <v>23</v>
      </c>
      <c r="F301" t="s">
        <v>17</v>
      </c>
      <c r="G301" s="2">
        <v>660.3</v>
      </c>
      <c r="H301">
        <v>10</v>
      </c>
      <c r="I301">
        <v>3.8</v>
      </c>
      <c r="J301" t="b">
        <v>1</v>
      </c>
      <c r="K301">
        <v>38</v>
      </c>
      <c r="L301" t="s">
        <v>21</v>
      </c>
    </row>
    <row r="302" spans="1:12" x14ac:dyDescent="0.35">
      <c r="A302">
        <v>399</v>
      </c>
      <c r="B302" t="s">
        <v>11</v>
      </c>
      <c r="C302">
        <v>36</v>
      </c>
      <c r="D302" t="str">
        <f>IF(Customer_Analytics[[#This Row],[Age]]&lt;=30,"26-30",IF(Customer_Analytics[[#This Row],[Age]]&lt;=35,"31-35",IF(Customer_Analytics[[#This Row],[Age]]&lt;=40,"36-40","41-45")))</f>
        <v>36-40</v>
      </c>
      <c r="E302" t="s">
        <v>24</v>
      </c>
      <c r="F302" t="s">
        <v>20</v>
      </c>
      <c r="G302" s="2">
        <v>470.5</v>
      </c>
      <c r="H302">
        <v>8</v>
      </c>
      <c r="I302">
        <v>3</v>
      </c>
      <c r="J302" t="b">
        <v>0</v>
      </c>
      <c r="K302">
        <v>22</v>
      </c>
      <c r="L302" t="s">
        <v>18</v>
      </c>
    </row>
    <row r="303" spans="1:12" x14ac:dyDescent="0.35">
      <c r="A303">
        <v>400</v>
      </c>
      <c r="B303" t="s">
        <v>11</v>
      </c>
      <c r="C303">
        <v>30</v>
      </c>
      <c r="D303" t="str">
        <f>IF(Customer_Analytics[[#This Row],[Age]]&lt;=30,"26-30",IF(Customer_Analytics[[#This Row],[Age]]&lt;=35,"31-35",IF(Customer_Analytics[[#This Row],[Age]]&lt;=40,"36-40","41-45")))</f>
        <v>26-30</v>
      </c>
      <c r="E303" t="s">
        <v>12</v>
      </c>
      <c r="F303" t="s">
        <v>13</v>
      </c>
      <c r="G303" s="2">
        <v>1190.8</v>
      </c>
      <c r="H303">
        <v>16</v>
      </c>
      <c r="I303">
        <v>4.5</v>
      </c>
      <c r="J303" t="b">
        <v>1</v>
      </c>
      <c r="K303">
        <v>25</v>
      </c>
      <c r="L303" t="s">
        <v>14</v>
      </c>
    </row>
    <row r="304" spans="1:12" x14ac:dyDescent="0.35">
      <c r="A304">
        <v>401</v>
      </c>
      <c r="B304" t="s">
        <v>15</v>
      </c>
      <c r="C304">
        <v>33</v>
      </c>
      <c r="D304" t="str">
        <f>IF(Customer_Analytics[[#This Row],[Age]]&lt;=30,"26-30",IF(Customer_Analytics[[#This Row],[Age]]&lt;=35,"31-35",IF(Customer_Analytics[[#This Row],[Age]]&lt;=40,"36-40","41-45")))</f>
        <v>31-35</v>
      </c>
      <c r="E304" t="s">
        <v>16</v>
      </c>
      <c r="F304" t="s">
        <v>17</v>
      </c>
      <c r="G304" s="2">
        <v>800.2</v>
      </c>
      <c r="H304">
        <v>11</v>
      </c>
      <c r="I304">
        <v>4.0999999999999996</v>
      </c>
      <c r="J304" t="b">
        <v>0</v>
      </c>
      <c r="K304">
        <v>18</v>
      </c>
      <c r="L304" t="s">
        <v>18</v>
      </c>
    </row>
    <row r="305" spans="1:12" x14ac:dyDescent="0.35">
      <c r="A305">
        <v>402</v>
      </c>
      <c r="B305" t="s">
        <v>11</v>
      </c>
      <c r="C305">
        <v>43</v>
      </c>
      <c r="D305" t="str">
        <f>IF(Customer_Analytics[[#This Row],[Age]]&lt;=30,"26-30",IF(Customer_Analytics[[#This Row],[Age]]&lt;=35,"31-35",IF(Customer_Analytics[[#This Row],[Age]]&lt;=40,"36-40","41-45")))</f>
        <v>41-45</v>
      </c>
      <c r="E305" t="s">
        <v>19</v>
      </c>
      <c r="F305" t="s">
        <v>20</v>
      </c>
      <c r="G305" s="2">
        <v>515.75</v>
      </c>
      <c r="H305">
        <v>10</v>
      </c>
      <c r="I305">
        <v>3.3</v>
      </c>
      <c r="J305" t="b">
        <v>1</v>
      </c>
      <c r="K305">
        <v>45</v>
      </c>
      <c r="L305" t="s">
        <v>21</v>
      </c>
    </row>
    <row r="306" spans="1:12" x14ac:dyDescent="0.35">
      <c r="A306">
        <v>403</v>
      </c>
      <c r="B306" t="s">
        <v>15</v>
      </c>
      <c r="C306">
        <v>30</v>
      </c>
      <c r="D306" t="str">
        <f>IF(Customer_Analytics[[#This Row],[Age]]&lt;=30,"26-30",IF(Customer_Analytics[[#This Row],[Age]]&lt;=35,"31-35",IF(Customer_Analytics[[#This Row],[Age]]&lt;=40,"36-40","41-45")))</f>
        <v>26-30</v>
      </c>
      <c r="E306" t="s">
        <v>22</v>
      </c>
      <c r="F306" t="s">
        <v>13</v>
      </c>
      <c r="G306" s="2">
        <v>1450.5</v>
      </c>
      <c r="H306">
        <v>19</v>
      </c>
      <c r="I306">
        <v>4.5999999999999996</v>
      </c>
      <c r="J306" t="b">
        <v>0</v>
      </c>
      <c r="K306">
        <v>13</v>
      </c>
      <c r="L306" t="s">
        <v>14</v>
      </c>
    </row>
    <row r="307" spans="1:12" x14ac:dyDescent="0.35">
      <c r="A307">
        <v>404</v>
      </c>
      <c r="B307" t="s">
        <v>15</v>
      </c>
      <c r="C307">
        <v>27</v>
      </c>
      <c r="D307" t="str">
        <f>IF(Customer_Analytics[[#This Row],[Age]]&lt;=30,"26-30",IF(Customer_Analytics[[#This Row],[Age]]&lt;=35,"31-35",IF(Customer_Analytics[[#This Row],[Age]]&lt;=40,"36-40","41-45")))</f>
        <v>26-30</v>
      </c>
      <c r="E307" t="s">
        <v>23</v>
      </c>
      <c r="F307" t="s">
        <v>17</v>
      </c>
      <c r="G307" s="2">
        <v>710.4</v>
      </c>
      <c r="H307">
        <v>13</v>
      </c>
      <c r="I307">
        <v>4.0999999999999996</v>
      </c>
      <c r="J307" t="b">
        <v>1</v>
      </c>
      <c r="K307">
        <v>60</v>
      </c>
      <c r="L307" t="s">
        <v>21</v>
      </c>
    </row>
    <row r="308" spans="1:12" x14ac:dyDescent="0.35">
      <c r="A308">
        <v>405</v>
      </c>
      <c r="B308" t="s">
        <v>11</v>
      </c>
      <c r="C308">
        <v>37</v>
      </c>
      <c r="D308" t="str">
        <f>IF(Customer_Analytics[[#This Row],[Age]]&lt;=30,"26-30",IF(Customer_Analytics[[#This Row],[Age]]&lt;=35,"31-35",IF(Customer_Analytics[[#This Row],[Age]]&lt;=40,"36-40","41-45")))</f>
        <v>36-40</v>
      </c>
      <c r="E308" t="s">
        <v>24</v>
      </c>
      <c r="F308" t="s">
        <v>20</v>
      </c>
      <c r="G308" s="2">
        <v>430.8</v>
      </c>
      <c r="H308">
        <v>7</v>
      </c>
      <c r="I308">
        <v>3.4</v>
      </c>
      <c r="J308" t="b">
        <v>0</v>
      </c>
      <c r="K308">
        <v>29</v>
      </c>
      <c r="L308" t="s">
        <v>18</v>
      </c>
    </row>
    <row r="309" spans="1:12" x14ac:dyDescent="0.35">
      <c r="A309">
        <v>406</v>
      </c>
      <c r="B309" t="s">
        <v>11</v>
      </c>
      <c r="C309">
        <v>31</v>
      </c>
      <c r="D309" t="str">
        <f>IF(Customer_Analytics[[#This Row],[Age]]&lt;=30,"26-30",IF(Customer_Analytics[[#This Row],[Age]]&lt;=35,"31-35",IF(Customer_Analytics[[#This Row],[Age]]&lt;=40,"36-40","41-45")))</f>
        <v>31-35</v>
      </c>
      <c r="E309" t="s">
        <v>12</v>
      </c>
      <c r="F309" t="s">
        <v>13</v>
      </c>
      <c r="G309" s="2">
        <v>1160.5999999999999</v>
      </c>
      <c r="H309">
        <v>15</v>
      </c>
      <c r="I309">
        <v>4.5</v>
      </c>
      <c r="J309" t="b">
        <v>1</v>
      </c>
      <c r="K309">
        <v>33</v>
      </c>
      <c r="L309" t="s">
        <v>14</v>
      </c>
    </row>
    <row r="310" spans="1:12" x14ac:dyDescent="0.35">
      <c r="A310">
        <v>407</v>
      </c>
      <c r="B310" t="s">
        <v>15</v>
      </c>
      <c r="C310">
        <v>35</v>
      </c>
      <c r="D310" t="str">
        <f>IF(Customer_Analytics[[#This Row],[Age]]&lt;=30,"26-30",IF(Customer_Analytics[[#This Row],[Age]]&lt;=35,"31-35",IF(Customer_Analytics[[#This Row],[Age]]&lt;=40,"36-40","41-45")))</f>
        <v>31-35</v>
      </c>
      <c r="E310" t="s">
        <v>16</v>
      </c>
      <c r="F310" t="s">
        <v>17</v>
      </c>
      <c r="G310" s="2">
        <v>820.9</v>
      </c>
      <c r="H310">
        <v>12</v>
      </c>
      <c r="I310">
        <v>4.3</v>
      </c>
      <c r="J310" t="b">
        <v>0</v>
      </c>
      <c r="K310">
        <v>16</v>
      </c>
      <c r="L310" t="s">
        <v>18</v>
      </c>
    </row>
    <row r="311" spans="1:12" x14ac:dyDescent="0.35">
      <c r="A311">
        <v>408</v>
      </c>
      <c r="B311" t="s">
        <v>11</v>
      </c>
      <c r="C311">
        <v>41</v>
      </c>
      <c r="D311" t="str">
        <f>IF(Customer_Analytics[[#This Row],[Age]]&lt;=30,"26-30",IF(Customer_Analytics[[#This Row],[Age]]&lt;=35,"31-35",IF(Customer_Analytics[[#This Row],[Age]]&lt;=40,"36-40","41-45")))</f>
        <v>41-45</v>
      </c>
      <c r="E311" t="s">
        <v>19</v>
      </c>
      <c r="F311" t="s">
        <v>20</v>
      </c>
      <c r="G311" s="2">
        <v>495.25</v>
      </c>
      <c r="H311">
        <v>9</v>
      </c>
      <c r="I311">
        <v>3.6</v>
      </c>
      <c r="J311" t="b">
        <v>1</v>
      </c>
      <c r="K311">
        <v>45</v>
      </c>
      <c r="L311" t="s">
        <v>21</v>
      </c>
    </row>
    <row r="312" spans="1:12" x14ac:dyDescent="0.35">
      <c r="A312">
        <v>409</v>
      </c>
      <c r="B312" t="s">
        <v>15</v>
      </c>
      <c r="C312">
        <v>28</v>
      </c>
      <c r="D312" t="str">
        <f>IF(Customer_Analytics[[#This Row],[Age]]&lt;=30,"26-30",IF(Customer_Analytics[[#This Row],[Age]]&lt;=35,"31-35",IF(Customer_Analytics[[#This Row],[Age]]&lt;=40,"36-40","41-45")))</f>
        <v>26-30</v>
      </c>
      <c r="E312" t="s">
        <v>22</v>
      </c>
      <c r="F312" t="s">
        <v>13</v>
      </c>
      <c r="G312" s="2">
        <v>1490.1</v>
      </c>
      <c r="H312">
        <v>21</v>
      </c>
      <c r="I312">
        <v>4.9000000000000004</v>
      </c>
      <c r="J312" t="b">
        <v>0</v>
      </c>
      <c r="K312">
        <v>11</v>
      </c>
      <c r="L312" t="s">
        <v>14</v>
      </c>
    </row>
    <row r="313" spans="1:12" x14ac:dyDescent="0.35">
      <c r="A313">
        <v>410</v>
      </c>
      <c r="B313" t="s">
        <v>15</v>
      </c>
      <c r="C313">
        <v>32</v>
      </c>
      <c r="D313" t="str">
        <f>IF(Customer_Analytics[[#This Row],[Age]]&lt;=30,"26-30",IF(Customer_Analytics[[#This Row],[Age]]&lt;=35,"31-35",IF(Customer_Analytics[[#This Row],[Age]]&lt;=40,"36-40","41-45")))</f>
        <v>31-35</v>
      </c>
      <c r="E313" t="s">
        <v>23</v>
      </c>
      <c r="F313" t="s">
        <v>17</v>
      </c>
      <c r="G313" s="2">
        <v>660.3</v>
      </c>
      <c r="H313">
        <v>10</v>
      </c>
      <c r="I313">
        <v>3.8</v>
      </c>
      <c r="J313" t="b">
        <v>1</v>
      </c>
      <c r="K313">
        <v>39</v>
      </c>
      <c r="L313" t="s">
        <v>21</v>
      </c>
    </row>
    <row r="314" spans="1:12" x14ac:dyDescent="0.35">
      <c r="A314">
        <v>411</v>
      </c>
      <c r="B314" t="s">
        <v>11</v>
      </c>
      <c r="C314">
        <v>36</v>
      </c>
      <c r="D314" t="str">
        <f>IF(Customer_Analytics[[#This Row],[Age]]&lt;=30,"26-30",IF(Customer_Analytics[[#This Row],[Age]]&lt;=35,"31-35",IF(Customer_Analytics[[#This Row],[Age]]&lt;=40,"36-40","41-45")))</f>
        <v>36-40</v>
      </c>
      <c r="E314" t="s">
        <v>24</v>
      </c>
      <c r="F314" t="s">
        <v>20</v>
      </c>
      <c r="G314" s="2">
        <v>440.5</v>
      </c>
      <c r="H314">
        <v>8</v>
      </c>
      <c r="I314">
        <v>3.1</v>
      </c>
      <c r="J314" t="b">
        <v>0</v>
      </c>
      <c r="K314">
        <v>24</v>
      </c>
      <c r="L314" t="s">
        <v>18</v>
      </c>
    </row>
    <row r="315" spans="1:12" x14ac:dyDescent="0.35">
      <c r="A315">
        <v>412</v>
      </c>
      <c r="B315" t="s">
        <v>11</v>
      </c>
      <c r="C315">
        <v>30</v>
      </c>
      <c r="D315" t="str">
        <f>IF(Customer_Analytics[[#This Row],[Age]]&lt;=30,"26-30",IF(Customer_Analytics[[#This Row],[Age]]&lt;=35,"31-35",IF(Customer_Analytics[[#This Row],[Age]]&lt;=40,"36-40","41-45")))</f>
        <v>26-30</v>
      </c>
      <c r="E315" t="s">
        <v>12</v>
      </c>
      <c r="F315" t="s">
        <v>13</v>
      </c>
      <c r="G315" s="2">
        <v>1200.8</v>
      </c>
      <c r="H315">
        <v>16</v>
      </c>
      <c r="I315">
        <v>4.7</v>
      </c>
      <c r="J315" t="b">
        <v>1</v>
      </c>
      <c r="K315">
        <v>25</v>
      </c>
      <c r="L315" t="s">
        <v>14</v>
      </c>
    </row>
    <row r="316" spans="1:12" x14ac:dyDescent="0.35">
      <c r="A316">
        <v>413</v>
      </c>
      <c r="B316" t="s">
        <v>15</v>
      </c>
      <c r="C316">
        <v>34</v>
      </c>
      <c r="D316" t="str">
        <f>IF(Customer_Analytics[[#This Row],[Age]]&lt;=30,"26-30",IF(Customer_Analytics[[#This Row],[Age]]&lt;=35,"31-35",IF(Customer_Analytics[[#This Row],[Age]]&lt;=40,"36-40","41-45")))</f>
        <v>31-35</v>
      </c>
      <c r="E316" t="s">
        <v>16</v>
      </c>
      <c r="F316" t="s">
        <v>17</v>
      </c>
      <c r="G316" s="2">
        <v>780.2</v>
      </c>
      <c r="H316">
        <v>11</v>
      </c>
      <c r="I316">
        <v>4.0999999999999996</v>
      </c>
      <c r="J316" t="b">
        <v>0</v>
      </c>
      <c r="K316">
        <v>17</v>
      </c>
      <c r="L316" t="s">
        <v>18</v>
      </c>
    </row>
    <row r="317" spans="1:12" x14ac:dyDescent="0.35">
      <c r="A317">
        <v>414</v>
      </c>
      <c r="B317" t="s">
        <v>11</v>
      </c>
      <c r="C317">
        <v>43</v>
      </c>
      <c r="D317" t="str">
        <f>IF(Customer_Analytics[[#This Row],[Age]]&lt;=30,"26-30",IF(Customer_Analytics[[#This Row],[Age]]&lt;=35,"31-35",IF(Customer_Analytics[[#This Row],[Age]]&lt;=40,"36-40","41-45")))</f>
        <v>41-45</v>
      </c>
      <c r="E317" t="s">
        <v>19</v>
      </c>
      <c r="F317" t="s">
        <v>20</v>
      </c>
      <c r="G317" s="2">
        <v>505.75</v>
      </c>
      <c r="H317">
        <v>10</v>
      </c>
      <c r="I317">
        <v>3.3</v>
      </c>
      <c r="J317" t="b">
        <v>1</v>
      </c>
      <c r="K317">
        <v>46</v>
      </c>
      <c r="L317" t="s">
        <v>21</v>
      </c>
    </row>
    <row r="318" spans="1:12" x14ac:dyDescent="0.35">
      <c r="A318">
        <v>415</v>
      </c>
      <c r="B318" t="s">
        <v>15</v>
      </c>
      <c r="C318">
        <v>30</v>
      </c>
      <c r="D318" t="str">
        <f>IF(Customer_Analytics[[#This Row],[Age]]&lt;=30,"26-30",IF(Customer_Analytics[[#This Row],[Age]]&lt;=35,"31-35",IF(Customer_Analytics[[#This Row],[Age]]&lt;=40,"36-40","41-45")))</f>
        <v>26-30</v>
      </c>
      <c r="E318" t="s">
        <v>22</v>
      </c>
      <c r="F318" t="s">
        <v>13</v>
      </c>
      <c r="G318" s="2">
        <v>1460.5</v>
      </c>
      <c r="H318">
        <v>20</v>
      </c>
      <c r="I318">
        <v>4.8</v>
      </c>
      <c r="J318" t="b">
        <v>0</v>
      </c>
      <c r="K318">
        <v>14</v>
      </c>
      <c r="L318" t="s">
        <v>14</v>
      </c>
    </row>
    <row r="319" spans="1:12" x14ac:dyDescent="0.35">
      <c r="A319">
        <v>416</v>
      </c>
      <c r="B319" t="s">
        <v>15</v>
      </c>
      <c r="C319">
        <v>27</v>
      </c>
      <c r="D319" t="str">
        <f>IF(Customer_Analytics[[#This Row],[Age]]&lt;=30,"26-30",IF(Customer_Analytics[[#This Row],[Age]]&lt;=35,"31-35",IF(Customer_Analytics[[#This Row],[Age]]&lt;=40,"36-40","41-45")))</f>
        <v>26-30</v>
      </c>
      <c r="E319" t="s">
        <v>23</v>
      </c>
      <c r="F319" t="s">
        <v>17</v>
      </c>
      <c r="G319" s="2">
        <v>710.4</v>
      </c>
      <c r="H319">
        <v>13</v>
      </c>
      <c r="I319">
        <v>4.0999999999999996</v>
      </c>
      <c r="J319" t="b">
        <v>1</v>
      </c>
      <c r="K319">
        <v>61</v>
      </c>
      <c r="L319" t="s">
        <v>21</v>
      </c>
    </row>
    <row r="320" spans="1:12" x14ac:dyDescent="0.35">
      <c r="A320">
        <v>417</v>
      </c>
      <c r="B320" t="s">
        <v>11</v>
      </c>
      <c r="C320">
        <v>37</v>
      </c>
      <c r="D320" t="str">
        <f>IF(Customer_Analytics[[#This Row],[Age]]&lt;=30,"26-30",IF(Customer_Analytics[[#This Row],[Age]]&lt;=35,"31-35",IF(Customer_Analytics[[#This Row],[Age]]&lt;=40,"36-40","41-45")))</f>
        <v>36-40</v>
      </c>
      <c r="E320" t="s">
        <v>24</v>
      </c>
      <c r="F320" t="s">
        <v>20</v>
      </c>
      <c r="G320" s="2">
        <v>450.8</v>
      </c>
      <c r="H320">
        <v>7</v>
      </c>
      <c r="I320">
        <v>3.4</v>
      </c>
      <c r="J320" t="b">
        <v>0</v>
      </c>
      <c r="K320">
        <v>30</v>
      </c>
      <c r="L320" t="s">
        <v>18</v>
      </c>
    </row>
    <row r="321" spans="1:12" x14ac:dyDescent="0.35">
      <c r="A321">
        <v>418</v>
      </c>
      <c r="B321" t="s">
        <v>11</v>
      </c>
      <c r="C321">
        <v>31</v>
      </c>
      <c r="D321" t="str">
        <f>IF(Customer_Analytics[[#This Row],[Age]]&lt;=30,"26-30",IF(Customer_Analytics[[#This Row],[Age]]&lt;=35,"31-35",IF(Customer_Analytics[[#This Row],[Age]]&lt;=40,"36-40","41-45")))</f>
        <v>31-35</v>
      </c>
      <c r="E321" t="s">
        <v>12</v>
      </c>
      <c r="F321" t="s">
        <v>13</v>
      </c>
      <c r="G321" s="2">
        <v>1140.5999999999999</v>
      </c>
      <c r="H321">
        <v>15</v>
      </c>
      <c r="I321">
        <v>4.5</v>
      </c>
      <c r="J321" t="b">
        <v>1</v>
      </c>
      <c r="K321">
        <v>34</v>
      </c>
      <c r="L321" t="s">
        <v>14</v>
      </c>
    </row>
    <row r="322" spans="1:12" x14ac:dyDescent="0.35">
      <c r="A322">
        <v>419</v>
      </c>
      <c r="B322" t="s">
        <v>15</v>
      </c>
      <c r="C322">
        <v>35</v>
      </c>
      <c r="D322" t="str">
        <f>IF(Customer_Analytics[[#This Row],[Age]]&lt;=30,"26-30",IF(Customer_Analytics[[#This Row],[Age]]&lt;=35,"31-35",IF(Customer_Analytics[[#This Row],[Age]]&lt;=40,"36-40","41-45")))</f>
        <v>31-35</v>
      </c>
      <c r="E322" t="s">
        <v>16</v>
      </c>
      <c r="F322" t="s">
        <v>17</v>
      </c>
      <c r="G322" s="2">
        <v>800.9</v>
      </c>
      <c r="H322">
        <v>12</v>
      </c>
      <c r="I322">
        <v>4.0999999999999996</v>
      </c>
      <c r="J322" t="b">
        <v>0</v>
      </c>
      <c r="K322">
        <v>19</v>
      </c>
      <c r="L322" t="s">
        <v>18</v>
      </c>
    </row>
    <row r="323" spans="1:12" x14ac:dyDescent="0.35">
      <c r="A323">
        <v>420</v>
      </c>
      <c r="B323" t="s">
        <v>11</v>
      </c>
      <c r="C323">
        <v>41</v>
      </c>
      <c r="D323" t="str">
        <f>IF(Customer_Analytics[[#This Row],[Age]]&lt;=30,"26-30",IF(Customer_Analytics[[#This Row],[Age]]&lt;=35,"31-35",IF(Customer_Analytics[[#This Row],[Age]]&lt;=40,"36-40","41-45")))</f>
        <v>41-45</v>
      </c>
      <c r="E323" t="s">
        <v>19</v>
      </c>
      <c r="F323" t="s">
        <v>20</v>
      </c>
      <c r="G323" s="2">
        <v>475.25</v>
      </c>
      <c r="H323">
        <v>9</v>
      </c>
      <c r="I323">
        <v>3.6</v>
      </c>
      <c r="J323" t="b">
        <v>1</v>
      </c>
      <c r="K323">
        <v>46</v>
      </c>
      <c r="L323" t="s">
        <v>21</v>
      </c>
    </row>
    <row r="324" spans="1:12" x14ac:dyDescent="0.35">
      <c r="A324">
        <v>421</v>
      </c>
      <c r="B324" t="s">
        <v>15</v>
      </c>
      <c r="C324">
        <v>28</v>
      </c>
      <c r="D324" t="str">
        <f>IF(Customer_Analytics[[#This Row],[Age]]&lt;=30,"26-30",IF(Customer_Analytics[[#This Row],[Age]]&lt;=35,"31-35",IF(Customer_Analytics[[#This Row],[Age]]&lt;=40,"36-40","41-45")))</f>
        <v>26-30</v>
      </c>
      <c r="E324" t="s">
        <v>22</v>
      </c>
      <c r="F324" t="s">
        <v>13</v>
      </c>
      <c r="G324" s="2">
        <v>1480.1</v>
      </c>
      <c r="H324">
        <v>21</v>
      </c>
      <c r="I324">
        <v>4.9000000000000004</v>
      </c>
      <c r="J324" t="b">
        <v>0</v>
      </c>
      <c r="K324">
        <v>12</v>
      </c>
      <c r="L324" t="s">
        <v>14</v>
      </c>
    </row>
    <row r="325" spans="1:12" x14ac:dyDescent="0.35">
      <c r="A325">
        <v>422</v>
      </c>
      <c r="B325" t="s">
        <v>15</v>
      </c>
      <c r="C325">
        <v>32</v>
      </c>
      <c r="D325" t="str">
        <f>IF(Customer_Analytics[[#This Row],[Age]]&lt;=30,"26-30",IF(Customer_Analytics[[#This Row],[Age]]&lt;=35,"31-35",IF(Customer_Analytics[[#This Row],[Age]]&lt;=40,"36-40","41-45")))</f>
        <v>31-35</v>
      </c>
      <c r="E325" t="s">
        <v>23</v>
      </c>
      <c r="F325" t="s">
        <v>17</v>
      </c>
      <c r="G325" s="2">
        <v>660.3</v>
      </c>
      <c r="H325">
        <v>10</v>
      </c>
      <c r="I325">
        <v>3.8</v>
      </c>
      <c r="J325" t="b">
        <v>1</v>
      </c>
      <c r="K325">
        <v>40</v>
      </c>
      <c r="L325" t="s">
        <v>21</v>
      </c>
    </row>
    <row r="326" spans="1:12" x14ac:dyDescent="0.35">
      <c r="A326">
        <v>423</v>
      </c>
      <c r="B326" t="s">
        <v>11</v>
      </c>
      <c r="C326">
        <v>36</v>
      </c>
      <c r="D326" t="str">
        <f>IF(Customer_Analytics[[#This Row],[Age]]&lt;=30,"26-30",IF(Customer_Analytics[[#This Row],[Age]]&lt;=35,"31-35",IF(Customer_Analytics[[#This Row],[Age]]&lt;=40,"36-40","41-45")))</f>
        <v>36-40</v>
      </c>
      <c r="E326" t="s">
        <v>24</v>
      </c>
      <c r="F326" t="s">
        <v>20</v>
      </c>
      <c r="G326" s="2">
        <v>470.5</v>
      </c>
      <c r="H326">
        <v>8</v>
      </c>
      <c r="I326">
        <v>3</v>
      </c>
      <c r="J326" t="b">
        <v>0</v>
      </c>
      <c r="K326">
        <v>26</v>
      </c>
      <c r="L326" t="s">
        <v>18</v>
      </c>
    </row>
    <row r="327" spans="1:12" x14ac:dyDescent="0.35">
      <c r="A327">
        <v>424</v>
      </c>
      <c r="B327" t="s">
        <v>11</v>
      </c>
      <c r="C327">
        <v>30</v>
      </c>
      <c r="D327" t="str">
        <f>IF(Customer_Analytics[[#This Row],[Age]]&lt;=30,"26-30",IF(Customer_Analytics[[#This Row],[Age]]&lt;=35,"31-35",IF(Customer_Analytics[[#This Row],[Age]]&lt;=40,"36-40","41-45")))</f>
        <v>26-30</v>
      </c>
      <c r="E327" t="s">
        <v>12</v>
      </c>
      <c r="F327" t="s">
        <v>13</v>
      </c>
      <c r="G327" s="2">
        <v>1190.8</v>
      </c>
      <c r="H327">
        <v>16</v>
      </c>
      <c r="I327">
        <v>4.5</v>
      </c>
      <c r="J327" t="b">
        <v>1</v>
      </c>
      <c r="K327">
        <v>27</v>
      </c>
      <c r="L327" t="s">
        <v>14</v>
      </c>
    </row>
    <row r="328" spans="1:12" x14ac:dyDescent="0.35">
      <c r="A328">
        <v>425</v>
      </c>
      <c r="B328" t="s">
        <v>15</v>
      </c>
      <c r="C328">
        <v>34</v>
      </c>
      <c r="D328" t="str">
        <f>IF(Customer_Analytics[[#This Row],[Age]]&lt;=30,"26-30",IF(Customer_Analytics[[#This Row],[Age]]&lt;=35,"31-35",IF(Customer_Analytics[[#This Row],[Age]]&lt;=40,"36-40","41-45")))</f>
        <v>31-35</v>
      </c>
      <c r="E328" t="s">
        <v>16</v>
      </c>
      <c r="F328" t="s">
        <v>17</v>
      </c>
      <c r="G328" s="2">
        <v>780.2</v>
      </c>
      <c r="H328">
        <v>11</v>
      </c>
      <c r="I328">
        <v>4.2</v>
      </c>
      <c r="J328" t="b">
        <v>0</v>
      </c>
      <c r="K328">
        <v>18</v>
      </c>
      <c r="L328" t="s">
        <v>18</v>
      </c>
    </row>
    <row r="329" spans="1:12" x14ac:dyDescent="0.35">
      <c r="A329">
        <v>426</v>
      </c>
      <c r="B329" t="s">
        <v>11</v>
      </c>
      <c r="C329">
        <v>43</v>
      </c>
      <c r="D329" t="str">
        <f>IF(Customer_Analytics[[#This Row],[Age]]&lt;=30,"26-30",IF(Customer_Analytics[[#This Row],[Age]]&lt;=35,"31-35",IF(Customer_Analytics[[#This Row],[Age]]&lt;=40,"36-40","41-45")))</f>
        <v>41-45</v>
      </c>
      <c r="E329" t="s">
        <v>19</v>
      </c>
      <c r="F329" t="s">
        <v>20</v>
      </c>
      <c r="G329" s="2">
        <v>515.75</v>
      </c>
      <c r="H329">
        <v>10</v>
      </c>
      <c r="I329">
        <v>3.3</v>
      </c>
      <c r="J329" t="b">
        <v>1</v>
      </c>
      <c r="K329">
        <v>47</v>
      </c>
      <c r="L329" t="s">
        <v>21</v>
      </c>
    </row>
    <row r="330" spans="1:12" x14ac:dyDescent="0.35">
      <c r="A330">
        <v>427</v>
      </c>
      <c r="B330" t="s">
        <v>15</v>
      </c>
      <c r="C330">
        <v>30</v>
      </c>
      <c r="D330" t="str">
        <f>IF(Customer_Analytics[[#This Row],[Age]]&lt;=30,"26-30",IF(Customer_Analytics[[#This Row],[Age]]&lt;=35,"31-35",IF(Customer_Analytics[[#This Row],[Age]]&lt;=40,"36-40","41-45")))</f>
        <v>26-30</v>
      </c>
      <c r="E330" t="s">
        <v>22</v>
      </c>
      <c r="F330" t="s">
        <v>13</v>
      </c>
      <c r="G330" s="2">
        <v>1450.5</v>
      </c>
      <c r="H330">
        <v>19</v>
      </c>
      <c r="I330">
        <v>4.5999999999999996</v>
      </c>
      <c r="J330" t="b">
        <v>0</v>
      </c>
      <c r="K330">
        <v>14</v>
      </c>
      <c r="L330" t="s">
        <v>14</v>
      </c>
    </row>
    <row r="331" spans="1:12" x14ac:dyDescent="0.35">
      <c r="A331">
        <v>428</v>
      </c>
      <c r="B331" t="s">
        <v>15</v>
      </c>
      <c r="C331">
        <v>27</v>
      </c>
      <c r="D331" t="str">
        <f>IF(Customer_Analytics[[#This Row],[Age]]&lt;=30,"26-30",IF(Customer_Analytics[[#This Row],[Age]]&lt;=35,"31-35",IF(Customer_Analytics[[#This Row],[Age]]&lt;=40,"36-40","41-45")))</f>
        <v>26-30</v>
      </c>
      <c r="E331" t="s">
        <v>23</v>
      </c>
      <c r="F331" t="s">
        <v>17</v>
      </c>
      <c r="G331" s="2">
        <v>710.4</v>
      </c>
      <c r="H331">
        <v>13</v>
      </c>
      <c r="I331">
        <v>4.0999999999999996</v>
      </c>
      <c r="J331" t="b">
        <v>1</v>
      </c>
      <c r="K331">
        <v>62</v>
      </c>
      <c r="L331" t="s">
        <v>21</v>
      </c>
    </row>
    <row r="332" spans="1:12" x14ac:dyDescent="0.35">
      <c r="A332">
        <v>429</v>
      </c>
      <c r="B332" t="s">
        <v>11</v>
      </c>
      <c r="C332">
        <v>37</v>
      </c>
      <c r="D332" t="str">
        <f>IF(Customer_Analytics[[#This Row],[Age]]&lt;=30,"26-30",IF(Customer_Analytics[[#This Row],[Age]]&lt;=35,"31-35",IF(Customer_Analytics[[#This Row],[Age]]&lt;=40,"36-40","41-45")))</f>
        <v>36-40</v>
      </c>
      <c r="E332" t="s">
        <v>24</v>
      </c>
      <c r="F332" t="s">
        <v>20</v>
      </c>
      <c r="G332" s="2">
        <v>430.8</v>
      </c>
      <c r="H332">
        <v>7</v>
      </c>
      <c r="I332">
        <v>3.4</v>
      </c>
      <c r="J332" t="b">
        <v>0</v>
      </c>
      <c r="K332">
        <v>31</v>
      </c>
      <c r="L332" t="s">
        <v>18</v>
      </c>
    </row>
    <row r="333" spans="1:12" x14ac:dyDescent="0.35">
      <c r="A333">
        <v>430</v>
      </c>
      <c r="B333" t="s">
        <v>11</v>
      </c>
      <c r="C333">
        <v>31</v>
      </c>
      <c r="D333" t="str">
        <f>IF(Customer_Analytics[[#This Row],[Age]]&lt;=30,"26-30",IF(Customer_Analytics[[#This Row],[Age]]&lt;=35,"31-35",IF(Customer_Analytics[[#This Row],[Age]]&lt;=40,"36-40","41-45")))</f>
        <v>31-35</v>
      </c>
      <c r="E333" t="s">
        <v>12</v>
      </c>
      <c r="F333" t="s">
        <v>13</v>
      </c>
      <c r="G333" s="2">
        <v>1160.5999999999999</v>
      </c>
      <c r="H333">
        <v>15</v>
      </c>
      <c r="I333">
        <v>4.5</v>
      </c>
      <c r="J333" t="b">
        <v>1</v>
      </c>
      <c r="K333">
        <v>35</v>
      </c>
      <c r="L333" t="s">
        <v>14</v>
      </c>
    </row>
    <row r="334" spans="1:12" x14ac:dyDescent="0.35">
      <c r="A334">
        <v>431</v>
      </c>
      <c r="B334" t="s">
        <v>15</v>
      </c>
      <c r="C334">
        <v>35</v>
      </c>
      <c r="D334" t="str">
        <f>IF(Customer_Analytics[[#This Row],[Age]]&lt;=30,"26-30",IF(Customer_Analytics[[#This Row],[Age]]&lt;=35,"31-35",IF(Customer_Analytics[[#This Row],[Age]]&lt;=40,"36-40","41-45")))</f>
        <v>31-35</v>
      </c>
      <c r="E334" t="s">
        <v>16</v>
      </c>
      <c r="F334" t="s">
        <v>17</v>
      </c>
      <c r="G334" s="2">
        <v>820.9</v>
      </c>
      <c r="H334">
        <v>12</v>
      </c>
      <c r="I334">
        <v>4.3</v>
      </c>
      <c r="J334" t="b">
        <v>0</v>
      </c>
      <c r="K334">
        <v>20</v>
      </c>
      <c r="L334" t="s">
        <v>18</v>
      </c>
    </row>
    <row r="335" spans="1:12" x14ac:dyDescent="0.35">
      <c r="A335">
        <v>432</v>
      </c>
      <c r="B335" t="s">
        <v>11</v>
      </c>
      <c r="C335">
        <v>41</v>
      </c>
      <c r="D335" t="str">
        <f>IF(Customer_Analytics[[#This Row],[Age]]&lt;=30,"26-30",IF(Customer_Analytics[[#This Row],[Age]]&lt;=35,"31-35",IF(Customer_Analytics[[#This Row],[Age]]&lt;=40,"36-40","41-45")))</f>
        <v>41-45</v>
      </c>
      <c r="E335" t="s">
        <v>19</v>
      </c>
      <c r="F335" t="s">
        <v>20</v>
      </c>
      <c r="G335" s="2">
        <v>495.25</v>
      </c>
      <c r="H335">
        <v>9</v>
      </c>
      <c r="I335">
        <v>3.6</v>
      </c>
      <c r="J335" t="b">
        <v>1</v>
      </c>
      <c r="K335">
        <v>47</v>
      </c>
      <c r="L335" t="s">
        <v>21</v>
      </c>
    </row>
    <row r="336" spans="1:12" x14ac:dyDescent="0.35">
      <c r="A336" s="3">
        <v>433</v>
      </c>
      <c r="B336" s="3" t="s">
        <v>15</v>
      </c>
      <c r="C336" s="3">
        <v>28</v>
      </c>
      <c r="D336" s="3" t="str">
        <f>IF(Customer_Analytics[[#This Row],[Age]]&lt;=30,"26-30",IF(Customer_Analytics[[#This Row],[Age]]&lt;=35,"31-35",IF(Customer_Analytics[[#This Row],[Age]]&lt;=40,"36-40","41-45")))</f>
        <v>26-30</v>
      </c>
      <c r="E336" s="3" t="s">
        <v>22</v>
      </c>
      <c r="F336" s="3" t="s">
        <v>13</v>
      </c>
      <c r="G336" s="4">
        <v>1490.1</v>
      </c>
      <c r="H336" s="3">
        <v>21</v>
      </c>
      <c r="I336" s="3">
        <v>4.9000000000000004</v>
      </c>
      <c r="J336" s="3" t="b">
        <v>0</v>
      </c>
      <c r="K336" s="3">
        <v>11</v>
      </c>
      <c r="L336" s="3" t="s">
        <v>14</v>
      </c>
    </row>
    <row r="337" spans="1:12" x14ac:dyDescent="0.35">
      <c r="A337" s="3">
        <v>434</v>
      </c>
      <c r="B337" s="3" t="s">
        <v>15</v>
      </c>
      <c r="C337" s="3">
        <v>32</v>
      </c>
      <c r="D337" s="3" t="str">
        <f>IF(Customer_Analytics[[#This Row],[Age]]&lt;=30,"26-30",IF(Customer_Analytics[[#This Row],[Age]]&lt;=35,"31-35",IF(Customer_Analytics[[#This Row],[Age]]&lt;=40,"36-40","41-45")))</f>
        <v>31-35</v>
      </c>
      <c r="E337" s="3" t="s">
        <v>23</v>
      </c>
      <c r="F337" s="3" t="s">
        <v>17</v>
      </c>
      <c r="G337" s="4">
        <v>660.3</v>
      </c>
      <c r="H337" s="3">
        <v>10</v>
      </c>
      <c r="I337" s="3">
        <v>3.8</v>
      </c>
      <c r="J337" s="3" t="b">
        <v>1</v>
      </c>
      <c r="K337" s="3">
        <v>41</v>
      </c>
      <c r="L337" s="3" t="s">
        <v>21</v>
      </c>
    </row>
    <row r="338" spans="1:12" x14ac:dyDescent="0.35">
      <c r="A338" s="3">
        <v>435</v>
      </c>
      <c r="B338" s="3" t="s">
        <v>11</v>
      </c>
      <c r="C338" s="3">
        <v>36</v>
      </c>
      <c r="D338" s="3" t="str">
        <f>IF(Customer_Analytics[[#This Row],[Age]]&lt;=30,"26-30",IF(Customer_Analytics[[#This Row],[Age]]&lt;=35,"31-35",IF(Customer_Analytics[[#This Row],[Age]]&lt;=40,"36-40","41-45")))</f>
        <v>36-40</v>
      </c>
      <c r="E338" s="3" t="s">
        <v>24</v>
      </c>
      <c r="F338" s="3" t="s">
        <v>20</v>
      </c>
      <c r="G338" s="4">
        <v>440.5</v>
      </c>
      <c r="H338" s="3">
        <v>8</v>
      </c>
      <c r="I338" s="3">
        <v>3.1</v>
      </c>
      <c r="J338" s="3" t="b">
        <v>0</v>
      </c>
      <c r="K338" s="3">
        <v>28</v>
      </c>
      <c r="L338" s="3" t="s">
        <v>18</v>
      </c>
    </row>
    <row r="339" spans="1:12" x14ac:dyDescent="0.35">
      <c r="A339" s="3">
        <v>436</v>
      </c>
      <c r="B339" s="3" t="s">
        <v>11</v>
      </c>
      <c r="C339" s="3">
        <v>30</v>
      </c>
      <c r="D339" s="3" t="str">
        <f>IF(Customer_Analytics[[#This Row],[Age]]&lt;=30,"26-30",IF(Customer_Analytics[[#This Row],[Age]]&lt;=35,"31-35",IF(Customer_Analytics[[#This Row],[Age]]&lt;=40,"36-40","41-45")))</f>
        <v>26-30</v>
      </c>
      <c r="E339" s="3" t="s">
        <v>12</v>
      </c>
      <c r="F339" s="3" t="s">
        <v>13</v>
      </c>
      <c r="G339" s="4">
        <v>1200.8</v>
      </c>
      <c r="H339" s="3">
        <v>16</v>
      </c>
      <c r="I339" s="3">
        <v>4.7</v>
      </c>
      <c r="J339" s="3" t="b">
        <v>1</v>
      </c>
      <c r="K339" s="3">
        <v>28</v>
      </c>
      <c r="L339" s="3" t="s">
        <v>14</v>
      </c>
    </row>
    <row r="340" spans="1:12" x14ac:dyDescent="0.35">
      <c r="A340" s="3">
        <v>437</v>
      </c>
      <c r="B340" s="3" t="s">
        <v>15</v>
      </c>
      <c r="C340" s="3">
        <v>34</v>
      </c>
      <c r="D340" s="3" t="str">
        <f>IF(Customer_Analytics[[#This Row],[Age]]&lt;=30,"26-30",IF(Customer_Analytics[[#This Row],[Age]]&lt;=35,"31-35",IF(Customer_Analytics[[#This Row],[Age]]&lt;=40,"36-40","41-45")))</f>
        <v>31-35</v>
      </c>
      <c r="E340" s="3" t="s">
        <v>16</v>
      </c>
      <c r="F340" s="3" t="s">
        <v>17</v>
      </c>
      <c r="G340" s="4">
        <v>780.2</v>
      </c>
      <c r="H340" s="3">
        <v>11</v>
      </c>
      <c r="I340" s="3">
        <v>4.0999999999999996</v>
      </c>
      <c r="J340" s="3" t="b">
        <v>0</v>
      </c>
      <c r="K340" s="3">
        <v>19</v>
      </c>
      <c r="L340" s="3" t="s">
        <v>18</v>
      </c>
    </row>
    <row r="341" spans="1:12" x14ac:dyDescent="0.35">
      <c r="A341" s="3">
        <v>438</v>
      </c>
      <c r="B341" s="3" t="s">
        <v>11</v>
      </c>
      <c r="C341" s="3">
        <v>43</v>
      </c>
      <c r="D341" s="3" t="str">
        <f>IF(Customer_Analytics[[#This Row],[Age]]&lt;=30,"26-30",IF(Customer_Analytics[[#This Row],[Age]]&lt;=35,"31-35",IF(Customer_Analytics[[#This Row],[Age]]&lt;=40,"36-40","41-45")))</f>
        <v>41-45</v>
      </c>
      <c r="E341" s="3" t="s">
        <v>19</v>
      </c>
      <c r="F341" s="3" t="s">
        <v>20</v>
      </c>
      <c r="G341" s="4">
        <v>505.75</v>
      </c>
      <c r="H341" s="3">
        <v>10</v>
      </c>
      <c r="I341" s="3">
        <v>3.3</v>
      </c>
      <c r="J341" s="3" t="b">
        <v>1</v>
      </c>
      <c r="K341" s="3">
        <v>48</v>
      </c>
      <c r="L341" s="3" t="s">
        <v>21</v>
      </c>
    </row>
    <row r="342" spans="1:12" x14ac:dyDescent="0.35">
      <c r="A342" s="3">
        <v>439</v>
      </c>
      <c r="B342" s="3" t="s">
        <v>15</v>
      </c>
      <c r="C342" s="3">
        <v>30</v>
      </c>
      <c r="D342" s="3" t="str">
        <f>IF(Customer_Analytics[[#This Row],[Age]]&lt;=30,"26-30",IF(Customer_Analytics[[#This Row],[Age]]&lt;=35,"31-35",IF(Customer_Analytics[[#This Row],[Age]]&lt;=40,"36-40","41-45")))</f>
        <v>26-30</v>
      </c>
      <c r="E342" s="3" t="s">
        <v>22</v>
      </c>
      <c r="F342" s="3" t="s">
        <v>13</v>
      </c>
      <c r="G342" s="4">
        <v>1460.5</v>
      </c>
      <c r="H342" s="3">
        <v>20</v>
      </c>
      <c r="I342" s="3">
        <v>4.8</v>
      </c>
      <c r="J342" s="3" t="b">
        <v>0</v>
      </c>
      <c r="K342" s="3">
        <v>15</v>
      </c>
      <c r="L342" s="3" t="s">
        <v>14</v>
      </c>
    </row>
    <row r="343" spans="1:12" x14ac:dyDescent="0.35">
      <c r="A343" s="3">
        <v>440</v>
      </c>
      <c r="B343" s="3" t="s">
        <v>15</v>
      </c>
      <c r="C343" s="3">
        <v>27</v>
      </c>
      <c r="D343" s="3" t="str">
        <f>IF(Customer_Analytics[[#This Row],[Age]]&lt;=30,"26-30",IF(Customer_Analytics[[#This Row],[Age]]&lt;=35,"31-35",IF(Customer_Analytics[[#This Row],[Age]]&lt;=40,"36-40","41-45")))</f>
        <v>26-30</v>
      </c>
      <c r="E343" s="3" t="s">
        <v>23</v>
      </c>
      <c r="F343" s="3" t="s">
        <v>17</v>
      </c>
      <c r="G343" s="4">
        <v>710.4</v>
      </c>
      <c r="H343" s="3">
        <v>13</v>
      </c>
      <c r="I343" s="3">
        <v>4.0999999999999996</v>
      </c>
      <c r="J343" s="3" t="b">
        <v>1</v>
      </c>
      <c r="K343" s="3">
        <v>63</v>
      </c>
      <c r="L343" s="3" t="s">
        <v>21</v>
      </c>
    </row>
    <row r="344" spans="1:12" x14ac:dyDescent="0.35">
      <c r="A344" s="3">
        <v>441</v>
      </c>
      <c r="B344" s="3" t="s">
        <v>11</v>
      </c>
      <c r="C344" s="3">
        <v>37</v>
      </c>
      <c r="D344" s="3" t="str">
        <f>IF(Customer_Analytics[[#This Row],[Age]]&lt;=30,"26-30",IF(Customer_Analytics[[#This Row],[Age]]&lt;=35,"31-35",IF(Customer_Analytics[[#This Row],[Age]]&lt;=40,"36-40","41-45")))</f>
        <v>36-40</v>
      </c>
      <c r="E344" s="3" t="s">
        <v>24</v>
      </c>
      <c r="F344" s="3" t="s">
        <v>20</v>
      </c>
      <c r="G344" s="4">
        <v>450.8</v>
      </c>
      <c r="H344" s="3">
        <v>7</v>
      </c>
      <c r="I344" s="3">
        <v>3.4</v>
      </c>
      <c r="J344" s="3" t="b">
        <v>0</v>
      </c>
      <c r="K344" s="3">
        <v>32</v>
      </c>
      <c r="L344" s="3" t="s">
        <v>18</v>
      </c>
    </row>
    <row r="345" spans="1:12" x14ac:dyDescent="0.35">
      <c r="A345" s="3">
        <v>442</v>
      </c>
      <c r="B345" s="3" t="s">
        <v>11</v>
      </c>
      <c r="C345" s="3">
        <v>31</v>
      </c>
      <c r="D345" s="3" t="str">
        <f>IF(Customer_Analytics[[#This Row],[Age]]&lt;=30,"26-30",IF(Customer_Analytics[[#This Row],[Age]]&lt;=35,"31-35",IF(Customer_Analytics[[#This Row],[Age]]&lt;=40,"36-40","41-45")))</f>
        <v>31-35</v>
      </c>
      <c r="E345" s="3" t="s">
        <v>12</v>
      </c>
      <c r="F345" s="3" t="s">
        <v>13</v>
      </c>
      <c r="G345" s="4">
        <v>1140.5999999999999</v>
      </c>
      <c r="H345" s="3">
        <v>15</v>
      </c>
      <c r="I345" s="3">
        <v>4.5</v>
      </c>
      <c r="J345" s="3" t="b">
        <v>1</v>
      </c>
      <c r="K345" s="3">
        <v>36</v>
      </c>
      <c r="L345" s="3" t="s">
        <v>14</v>
      </c>
    </row>
    <row r="346" spans="1:12" x14ac:dyDescent="0.35">
      <c r="A346" s="3">
        <v>443</v>
      </c>
      <c r="B346" s="3" t="s">
        <v>15</v>
      </c>
      <c r="C346" s="3">
        <v>35</v>
      </c>
      <c r="D346" s="3" t="str">
        <f>IF(Customer_Analytics[[#This Row],[Age]]&lt;=30,"26-30",IF(Customer_Analytics[[#This Row],[Age]]&lt;=35,"31-35",IF(Customer_Analytics[[#This Row],[Age]]&lt;=40,"36-40","41-45")))</f>
        <v>31-35</v>
      </c>
      <c r="E346" s="3" t="s">
        <v>16</v>
      </c>
      <c r="F346" s="3" t="s">
        <v>17</v>
      </c>
      <c r="G346" s="4">
        <v>800.9</v>
      </c>
      <c r="H346" s="3">
        <v>12</v>
      </c>
      <c r="I346" s="3">
        <v>4.0999999999999996</v>
      </c>
      <c r="J346" s="3" t="b">
        <v>0</v>
      </c>
      <c r="K346" s="3">
        <v>20</v>
      </c>
      <c r="L346" s="3" t="s">
        <v>18</v>
      </c>
    </row>
    <row r="347" spans="1:12" x14ac:dyDescent="0.35">
      <c r="A347" s="3">
        <v>444</v>
      </c>
      <c r="B347" s="3" t="s">
        <v>11</v>
      </c>
      <c r="C347" s="3">
        <v>41</v>
      </c>
      <c r="D347" s="3" t="str">
        <f>IF(Customer_Analytics[[#This Row],[Age]]&lt;=30,"26-30",IF(Customer_Analytics[[#This Row],[Age]]&lt;=35,"31-35",IF(Customer_Analytics[[#This Row],[Age]]&lt;=40,"36-40","41-45")))</f>
        <v>41-45</v>
      </c>
      <c r="E347" s="3" t="s">
        <v>19</v>
      </c>
      <c r="F347" s="3" t="s">
        <v>20</v>
      </c>
      <c r="G347" s="4">
        <v>475.25</v>
      </c>
      <c r="H347" s="3">
        <v>9</v>
      </c>
      <c r="I347" s="3">
        <v>3.6</v>
      </c>
      <c r="J347" s="3" t="b">
        <v>1</v>
      </c>
      <c r="K347" s="3">
        <v>48</v>
      </c>
      <c r="L347" s="3" t="s">
        <v>21</v>
      </c>
    </row>
    <row r="348" spans="1:12" x14ac:dyDescent="0.35">
      <c r="A348" s="3">
        <v>445</v>
      </c>
      <c r="B348" s="3" t="s">
        <v>15</v>
      </c>
      <c r="C348" s="3">
        <v>28</v>
      </c>
      <c r="D348" s="3" t="str">
        <f>IF(Customer_Analytics[[#This Row],[Age]]&lt;=30,"26-30",IF(Customer_Analytics[[#This Row],[Age]]&lt;=35,"31-35",IF(Customer_Analytics[[#This Row],[Age]]&lt;=40,"36-40","41-45")))</f>
        <v>26-30</v>
      </c>
      <c r="E348" s="3" t="s">
        <v>22</v>
      </c>
      <c r="F348" s="3" t="s">
        <v>13</v>
      </c>
      <c r="G348" s="4">
        <v>1480.1</v>
      </c>
      <c r="H348" s="3">
        <v>21</v>
      </c>
      <c r="I348" s="3">
        <v>4.9000000000000004</v>
      </c>
      <c r="J348" s="3" t="b">
        <v>0</v>
      </c>
      <c r="K348" s="3">
        <v>13</v>
      </c>
      <c r="L348" s="3" t="s">
        <v>14</v>
      </c>
    </row>
    <row r="349" spans="1:12" x14ac:dyDescent="0.35">
      <c r="A349" s="3">
        <v>446</v>
      </c>
      <c r="B349" s="3" t="s">
        <v>15</v>
      </c>
      <c r="C349" s="3">
        <v>32</v>
      </c>
      <c r="D349" s="3" t="str">
        <f>IF(Customer_Analytics[[#This Row],[Age]]&lt;=30,"26-30",IF(Customer_Analytics[[#This Row],[Age]]&lt;=35,"31-35",IF(Customer_Analytics[[#This Row],[Age]]&lt;=40,"36-40","41-45")))</f>
        <v>31-35</v>
      </c>
      <c r="E349" s="3" t="s">
        <v>23</v>
      </c>
      <c r="F349" s="3" t="s">
        <v>17</v>
      </c>
      <c r="G349" s="4">
        <v>660.3</v>
      </c>
      <c r="H349" s="3">
        <v>10</v>
      </c>
      <c r="I349" s="3">
        <v>3.8</v>
      </c>
      <c r="J349" s="3" t="b">
        <v>1</v>
      </c>
      <c r="K349" s="3">
        <v>42</v>
      </c>
      <c r="L349" s="3" t="s">
        <v>21</v>
      </c>
    </row>
    <row r="350" spans="1:12" x14ac:dyDescent="0.35">
      <c r="A350" s="3">
        <v>447</v>
      </c>
      <c r="B350" s="3" t="s">
        <v>11</v>
      </c>
      <c r="C350" s="3">
        <v>36</v>
      </c>
      <c r="D350" s="3" t="str">
        <f>IF(Customer_Analytics[[#This Row],[Age]]&lt;=30,"26-30",IF(Customer_Analytics[[#This Row],[Age]]&lt;=35,"31-35",IF(Customer_Analytics[[#This Row],[Age]]&lt;=40,"36-40","41-45")))</f>
        <v>36-40</v>
      </c>
      <c r="E350" s="3" t="s">
        <v>24</v>
      </c>
      <c r="F350" s="3" t="s">
        <v>20</v>
      </c>
      <c r="G350" s="4">
        <v>470.5</v>
      </c>
      <c r="H350" s="3">
        <v>8</v>
      </c>
      <c r="I350" s="3">
        <v>3</v>
      </c>
      <c r="J350" s="3" t="b">
        <v>0</v>
      </c>
      <c r="K350" s="3">
        <v>27</v>
      </c>
      <c r="L350" s="3" t="s">
        <v>18</v>
      </c>
    </row>
    <row r="351" spans="1:12" x14ac:dyDescent="0.35">
      <c r="A351" s="3">
        <v>448</v>
      </c>
      <c r="B351" s="3" t="s">
        <v>11</v>
      </c>
      <c r="C351" s="3">
        <v>30</v>
      </c>
      <c r="D351" s="3" t="str">
        <f>IF(Customer_Analytics[[#This Row],[Age]]&lt;=30,"26-30",IF(Customer_Analytics[[#This Row],[Age]]&lt;=35,"31-35",IF(Customer_Analytics[[#This Row],[Age]]&lt;=40,"36-40","41-45")))</f>
        <v>26-30</v>
      </c>
      <c r="E351" s="3" t="s">
        <v>12</v>
      </c>
      <c r="F351" s="3" t="s">
        <v>13</v>
      </c>
      <c r="G351" s="4">
        <v>1190.8</v>
      </c>
      <c r="H351" s="3">
        <v>16</v>
      </c>
      <c r="I351" s="3">
        <v>4.5</v>
      </c>
      <c r="J351" s="3" t="b">
        <v>1</v>
      </c>
      <c r="K351" s="3">
        <v>28</v>
      </c>
      <c r="L351" s="3" t="s">
        <v>14</v>
      </c>
    </row>
    <row r="352" spans="1:12" x14ac:dyDescent="0.35">
      <c r="A352" s="3">
        <v>449</v>
      </c>
      <c r="B352" s="3" t="s">
        <v>15</v>
      </c>
      <c r="C352" s="3">
        <v>34</v>
      </c>
      <c r="D352" s="3" t="str">
        <f>IF(Customer_Analytics[[#This Row],[Age]]&lt;=30,"26-30",IF(Customer_Analytics[[#This Row],[Age]]&lt;=35,"31-35",IF(Customer_Analytics[[#This Row],[Age]]&lt;=40,"36-40","41-45")))</f>
        <v>31-35</v>
      </c>
      <c r="E352" s="3" t="s">
        <v>16</v>
      </c>
      <c r="F352" s="3" t="s">
        <v>17</v>
      </c>
      <c r="G352" s="4">
        <v>780.2</v>
      </c>
      <c r="H352" s="3">
        <v>11</v>
      </c>
      <c r="I352" s="3">
        <v>4.2</v>
      </c>
      <c r="J352" s="3" t="b">
        <v>0</v>
      </c>
      <c r="K352" s="3">
        <v>21</v>
      </c>
      <c r="L352" s="3" t="s">
        <v>18</v>
      </c>
    </row>
    <row r="353" spans="1:12" x14ac:dyDescent="0.35">
      <c r="A353" s="3">
        <v>450</v>
      </c>
      <c r="B353" s="3" t="s">
        <v>11</v>
      </c>
      <c r="C353" s="3">
        <v>43</v>
      </c>
      <c r="D353" s="3" t="str">
        <f>IF(Customer_Analytics[[#This Row],[Age]]&lt;=30,"26-30",IF(Customer_Analytics[[#This Row],[Age]]&lt;=35,"31-35",IF(Customer_Analytics[[#This Row],[Age]]&lt;=40,"36-40","41-45")))</f>
        <v>41-45</v>
      </c>
      <c r="E353" s="3" t="s">
        <v>19</v>
      </c>
      <c r="F353" s="3" t="s">
        <v>20</v>
      </c>
      <c r="G353" s="4">
        <v>515.75</v>
      </c>
      <c r="H353" s="3">
        <v>10</v>
      </c>
      <c r="I353" s="3">
        <v>3.3</v>
      </c>
      <c r="J353" s="3" t="b">
        <v>1</v>
      </c>
      <c r="K353" s="3">
        <v>49</v>
      </c>
      <c r="L353" s="3" t="s">
        <v>21</v>
      </c>
    </row>
  </sheetData>
  <mergeCells count="2">
    <mergeCell ref="A2:L2"/>
    <mergeCell ref="A1:L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1AA5-D03A-4623-8EBD-AF46C6B14341}">
  <sheetPr>
    <tabColor theme="4" tint="0.59999389629810485"/>
  </sheetPr>
  <dimension ref="A1:H16"/>
  <sheetViews>
    <sheetView workbookViewId="0">
      <selection activeCell="A3" sqref="A3:B3"/>
    </sheetView>
  </sheetViews>
  <sheetFormatPr defaultRowHeight="14.5" x14ac:dyDescent="0.35"/>
  <cols>
    <col min="1" max="1" width="18.26953125" bestFit="1" customWidth="1"/>
    <col min="2" max="2" width="14.6328125" bestFit="1" customWidth="1"/>
    <col min="4" max="4" width="17.36328125" bestFit="1" customWidth="1"/>
    <col min="5" max="5" width="14.6328125" bestFit="1" customWidth="1"/>
    <col min="7" max="7" width="12" bestFit="1" customWidth="1"/>
    <col min="8" max="8" width="14.6328125" bestFit="1" customWidth="1"/>
  </cols>
  <sheetData>
    <row r="1" spans="1:8" ht="23.5" x14ac:dyDescent="0.55000000000000004">
      <c r="A1" s="13" t="s">
        <v>33</v>
      </c>
      <c r="B1" s="13"/>
      <c r="C1" s="13"/>
      <c r="D1" s="13"/>
      <c r="E1" s="13"/>
      <c r="F1" s="13"/>
      <c r="G1" s="13"/>
      <c r="H1" s="13"/>
    </row>
    <row r="2" spans="1:8" x14ac:dyDescent="0.35">
      <c r="A2" s="12"/>
      <c r="B2" s="12"/>
      <c r="D2" s="12"/>
      <c r="E2" s="12"/>
      <c r="G2" s="12"/>
      <c r="H2" s="12"/>
    </row>
    <row r="3" spans="1:8" ht="15.5" x14ac:dyDescent="0.35">
      <c r="A3" s="14" t="s">
        <v>26</v>
      </c>
      <c r="B3" s="14"/>
      <c r="D3" s="14" t="s">
        <v>28</v>
      </c>
      <c r="E3" s="14"/>
      <c r="G3" s="14" t="s">
        <v>31</v>
      </c>
      <c r="H3" s="14"/>
    </row>
    <row r="4" spans="1:8" x14ac:dyDescent="0.35">
      <c r="A4" s="5" t="s">
        <v>1</v>
      </c>
      <c r="B4" t="s">
        <v>49</v>
      </c>
      <c r="D4" s="5" t="s">
        <v>10</v>
      </c>
      <c r="E4" t="s">
        <v>49</v>
      </c>
      <c r="G4" s="5" t="s">
        <v>3</v>
      </c>
      <c r="H4" t="s">
        <v>49</v>
      </c>
    </row>
    <row r="5" spans="1:8" x14ac:dyDescent="0.35">
      <c r="A5" t="s">
        <v>11</v>
      </c>
      <c r="B5">
        <v>175</v>
      </c>
      <c r="D5" t="s">
        <v>18</v>
      </c>
      <c r="E5">
        <v>107</v>
      </c>
      <c r="G5" t="s">
        <v>19</v>
      </c>
      <c r="H5">
        <v>58</v>
      </c>
    </row>
    <row r="6" spans="1:8" x14ac:dyDescent="0.35">
      <c r="A6" t="s">
        <v>15</v>
      </c>
      <c r="B6">
        <v>175</v>
      </c>
      <c r="D6" t="s">
        <v>14</v>
      </c>
      <c r="E6">
        <v>125</v>
      </c>
      <c r="G6" t="s">
        <v>24</v>
      </c>
      <c r="H6">
        <v>58</v>
      </c>
    </row>
    <row r="7" spans="1:8" x14ac:dyDescent="0.35">
      <c r="A7" t="s">
        <v>25</v>
      </c>
      <c r="B7">
        <v>350</v>
      </c>
      <c r="D7" t="s">
        <v>21</v>
      </c>
      <c r="E7">
        <v>116</v>
      </c>
      <c r="G7" t="s">
        <v>16</v>
      </c>
      <c r="H7">
        <v>59</v>
      </c>
    </row>
    <row r="8" spans="1:8" x14ac:dyDescent="0.35">
      <c r="D8" t="s">
        <v>27</v>
      </c>
      <c r="E8">
        <v>2</v>
      </c>
      <c r="G8" t="s">
        <v>23</v>
      </c>
      <c r="H8">
        <v>58</v>
      </c>
    </row>
    <row r="9" spans="1:8" x14ac:dyDescent="0.35">
      <c r="D9" t="s">
        <v>25</v>
      </c>
      <c r="E9">
        <v>350</v>
      </c>
      <c r="G9" t="s">
        <v>12</v>
      </c>
      <c r="H9">
        <v>59</v>
      </c>
    </row>
    <row r="10" spans="1:8" ht="15.5" x14ac:dyDescent="0.35">
      <c r="A10" s="14" t="s">
        <v>32</v>
      </c>
      <c r="B10" s="14"/>
      <c r="G10" t="s">
        <v>22</v>
      </c>
      <c r="H10">
        <v>58</v>
      </c>
    </row>
    <row r="11" spans="1:8" x14ac:dyDescent="0.35">
      <c r="A11" s="5" t="s">
        <v>4</v>
      </c>
      <c r="B11" t="s">
        <v>49</v>
      </c>
      <c r="G11" t="s">
        <v>25</v>
      </c>
      <c r="H11">
        <v>350</v>
      </c>
    </row>
    <row r="12" spans="1:8" ht="15.5" x14ac:dyDescent="0.35">
      <c r="A12" t="s">
        <v>20</v>
      </c>
      <c r="B12">
        <v>116</v>
      </c>
      <c r="D12" s="14" t="s">
        <v>8</v>
      </c>
      <c r="E12" s="14"/>
    </row>
    <row r="13" spans="1:8" x14ac:dyDescent="0.35">
      <c r="A13" t="s">
        <v>13</v>
      </c>
      <c r="B13">
        <v>117</v>
      </c>
      <c r="D13" s="5" t="s">
        <v>8</v>
      </c>
      <c r="E13" t="s">
        <v>49</v>
      </c>
    </row>
    <row r="14" spans="1:8" x14ac:dyDescent="0.35">
      <c r="A14" t="s">
        <v>17</v>
      </c>
      <c r="B14">
        <v>117</v>
      </c>
      <c r="D14" t="s">
        <v>29</v>
      </c>
      <c r="E14">
        <v>175</v>
      </c>
    </row>
    <row r="15" spans="1:8" x14ac:dyDescent="0.35">
      <c r="A15" t="s">
        <v>25</v>
      </c>
      <c r="B15">
        <v>350</v>
      </c>
      <c r="D15" t="s">
        <v>30</v>
      </c>
      <c r="E15">
        <v>175</v>
      </c>
    </row>
    <row r="16" spans="1:8" x14ac:dyDescent="0.35">
      <c r="D16" t="s">
        <v>25</v>
      </c>
      <c r="E16">
        <v>350</v>
      </c>
    </row>
  </sheetData>
  <mergeCells count="9">
    <mergeCell ref="A10:B10"/>
    <mergeCell ref="D3:E3"/>
    <mergeCell ref="D12:E12"/>
    <mergeCell ref="G3:H3"/>
    <mergeCell ref="A1:H1"/>
    <mergeCell ref="A2:B2"/>
    <mergeCell ref="D2:E2"/>
    <mergeCell ref="G2:H2"/>
    <mergeCell ref="A3:B3"/>
  </mergeCell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3EFD-65BE-45D8-83C5-31ECEFD07C33}">
  <sheetPr>
    <tabColor theme="4" tint="0.59999389629810485"/>
  </sheetPr>
  <dimension ref="A1:H8"/>
  <sheetViews>
    <sheetView workbookViewId="0">
      <selection sqref="A1:H1"/>
    </sheetView>
  </sheetViews>
  <sheetFormatPr defaultRowHeight="14.5" x14ac:dyDescent="0.35"/>
  <cols>
    <col min="1" max="1" width="12.08984375" customWidth="1"/>
    <col min="2" max="3" width="15.08984375" customWidth="1"/>
    <col min="4" max="4" width="13.6328125" customWidth="1"/>
    <col min="5" max="5" width="14.453125" customWidth="1"/>
    <col min="6" max="6" width="11.1796875" customWidth="1"/>
  </cols>
  <sheetData>
    <row r="1" spans="1:8" ht="23.5" x14ac:dyDescent="0.55000000000000004">
      <c r="A1" s="13" t="s">
        <v>39</v>
      </c>
      <c r="B1" s="13"/>
      <c r="C1" s="13"/>
      <c r="D1" s="13"/>
      <c r="E1" s="13"/>
      <c r="F1" s="13"/>
      <c r="G1" s="13"/>
      <c r="H1" s="13"/>
    </row>
    <row r="3" spans="1:8" ht="18.5" customHeight="1" x14ac:dyDescent="0.35">
      <c r="B3" s="7" t="s">
        <v>34</v>
      </c>
      <c r="C3" s="7" t="s">
        <v>35</v>
      </c>
      <c r="D3" s="7" t="s">
        <v>36</v>
      </c>
      <c r="E3" s="7" t="s">
        <v>37</v>
      </c>
      <c r="F3" s="7" t="s">
        <v>38</v>
      </c>
    </row>
    <row r="4" spans="1:8" ht="23" customHeight="1" x14ac:dyDescent="0.35">
      <c r="B4" s="6" t="s">
        <v>2</v>
      </c>
      <c r="C4" s="6">
        <f>MIN(Customer_Analytics[Age])</f>
        <v>26</v>
      </c>
      <c r="D4" s="6">
        <f>MAX(Customer_Analytics[Age])</f>
        <v>43</v>
      </c>
      <c r="E4" s="9">
        <f>AVERAGE(Customer_Analytics[Age])</f>
        <v>33.597142857142856</v>
      </c>
      <c r="F4" s="6">
        <f>MEDIAN(Customer_Analytics[Age])</f>
        <v>32.5</v>
      </c>
    </row>
    <row r="5" spans="1:8" ht="15.5" x14ac:dyDescent="0.35">
      <c r="B5" s="6" t="s">
        <v>5</v>
      </c>
      <c r="C5" s="6">
        <f>MIN(Customer_Analytics[Total Spend])</f>
        <v>410.8</v>
      </c>
      <c r="D5" s="6">
        <f>MAX(Customer_Analytics[Total Spend])</f>
        <v>1520.1</v>
      </c>
      <c r="E5" s="8">
        <f>AVERAGE(Customer_Analytics[Total Spend])</f>
        <v>845.38171428571343</v>
      </c>
      <c r="F5" s="6">
        <f>MEDIAN(Customer_Analytics[Total Spend])</f>
        <v>775.2</v>
      </c>
    </row>
    <row r="6" spans="1:8" ht="32" customHeight="1" x14ac:dyDescent="0.35">
      <c r="B6" s="6" t="s">
        <v>6</v>
      </c>
      <c r="C6" s="6">
        <f>MIN(Customer_Analytics[Items Purchased])</f>
        <v>7</v>
      </c>
      <c r="D6" s="6">
        <f>MAX(Customer_Analytics[Items Purchased])</f>
        <v>21</v>
      </c>
      <c r="E6" s="8">
        <f>AVERAGE(Customer_Analytics[Items Purchased])</f>
        <v>12.6</v>
      </c>
      <c r="F6" s="6">
        <f>MEDIAN(Customer_Analytics[Items Purchased])</f>
        <v>12</v>
      </c>
    </row>
    <row r="7" spans="1:8" ht="15.5" x14ac:dyDescent="0.35">
      <c r="B7" s="6" t="s">
        <v>7</v>
      </c>
      <c r="C7" s="6">
        <f>MIN(Customer_Analytics[Average Rating])</f>
        <v>3</v>
      </c>
      <c r="D7" s="6">
        <f>MAX(Customer_Analytics[Average Rating])</f>
        <v>4.9000000000000004</v>
      </c>
      <c r="E7" s="8">
        <f>AVERAGE(Customer_Analytics[Average Rating])</f>
        <v>4.0191428571428487</v>
      </c>
      <c r="F7" s="6">
        <f>MEDIAN(Customer_Analytics[Average Rating])</f>
        <v>4.0999999999999996</v>
      </c>
    </row>
    <row r="8" spans="1:8" ht="31" x14ac:dyDescent="0.35">
      <c r="B8" s="6" t="s">
        <v>9</v>
      </c>
      <c r="C8" s="6">
        <f>MIN(Customer_Analytics[Days Since Last Purchase])</f>
        <v>9</v>
      </c>
      <c r="D8" s="6">
        <f>MAX(Customer_Analytics[Days Since Last Purchase])</f>
        <v>63</v>
      </c>
      <c r="E8" s="9">
        <f>AVERAGE(Customer_Analytics[Days Since Last Purchase])</f>
        <v>26.588571428571427</v>
      </c>
      <c r="F8" s="6">
        <f>MEDIAN(Customer_Analytics[Days Since Last Purchase])</f>
        <v>23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9966-AE92-43E4-B70D-C6C0C298C0B6}">
  <sheetPr>
    <tabColor theme="4" tint="0.59999389629810485"/>
  </sheetPr>
  <dimension ref="A1:M17"/>
  <sheetViews>
    <sheetView tabSelected="1" zoomScale="90" zoomScaleNormal="90" workbookViewId="0">
      <selection activeCell="K9" sqref="K9:L9"/>
    </sheetView>
  </sheetViews>
  <sheetFormatPr defaultRowHeight="14.5" x14ac:dyDescent="0.35"/>
  <cols>
    <col min="1" max="2" width="18.08984375" bestFit="1" customWidth="1"/>
    <col min="3" max="3" width="7.81640625" customWidth="1"/>
    <col min="4" max="4" width="10.6328125" customWidth="1"/>
    <col min="5" max="5" width="6.90625" customWidth="1"/>
    <col min="6" max="6" width="11" bestFit="1" customWidth="1"/>
    <col min="7" max="7" width="6.36328125" customWidth="1"/>
    <col min="8" max="8" width="18.81640625" bestFit="1" customWidth="1"/>
    <col min="9" max="9" width="27.81640625" customWidth="1"/>
    <col min="10" max="10" width="8.90625" customWidth="1"/>
    <col min="11" max="11" width="18.08984375" bestFit="1" customWidth="1"/>
    <col min="12" max="12" width="31.7265625" customWidth="1"/>
  </cols>
  <sheetData>
    <row r="1" spans="1:13" ht="23.5" x14ac:dyDescent="0.55000000000000004">
      <c r="A1" s="11" t="s">
        <v>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35">
      <c r="A2" s="12"/>
      <c r="B2" s="12"/>
      <c r="C2" s="12"/>
      <c r="D2" s="12"/>
      <c r="E2" s="12"/>
      <c r="F2" s="12"/>
      <c r="H2" s="12"/>
      <c r="I2" s="12"/>
      <c r="K2" s="12"/>
      <c r="L2" s="12"/>
    </row>
    <row r="3" spans="1:13" x14ac:dyDescent="0.35">
      <c r="A3" s="17" t="s">
        <v>42</v>
      </c>
      <c r="B3" s="17"/>
      <c r="C3" s="17"/>
      <c r="D3" s="17"/>
      <c r="E3" s="17"/>
      <c r="F3" s="17"/>
      <c r="H3" s="17" t="s">
        <v>43</v>
      </c>
      <c r="I3" s="17"/>
      <c r="J3" s="10"/>
      <c r="K3" s="17" t="s">
        <v>45</v>
      </c>
      <c r="L3" s="17"/>
      <c r="M3" s="10"/>
    </row>
    <row r="4" spans="1:13" x14ac:dyDescent="0.35">
      <c r="A4" s="15" t="s">
        <v>49</v>
      </c>
      <c r="B4" s="15" t="s">
        <v>10</v>
      </c>
      <c r="C4" s="3"/>
      <c r="D4" s="3"/>
      <c r="E4" s="3"/>
      <c r="F4" s="3"/>
      <c r="H4" s="15" t="s">
        <v>4</v>
      </c>
      <c r="I4" s="3" t="s">
        <v>50</v>
      </c>
      <c r="K4" s="15" t="s">
        <v>8</v>
      </c>
      <c r="L4" s="3" t="s">
        <v>50</v>
      </c>
    </row>
    <row r="5" spans="1:13" x14ac:dyDescent="0.35">
      <c r="A5" s="15" t="s">
        <v>4</v>
      </c>
      <c r="B5" s="3" t="s">
        <v>18</v>
      </c>
      <c r="C5" s="3" t="s">
        <v>14</v>
      </c>
      <c r="D5" s="3" t="s">
        <v>21</v>
      </c>
      <c r="E5" s="3" t="s">
        <v>27</v>
      </c>
      <c r="F5" s="3" t="s">
        <v>25</v>
      </c>
      <c r="H5" s="3" t="s">
        <v>20</v>
      </c>
      <c r="I5" s="4">
        <v>473.38879310344856</v>
      </c>
      <c r="K5" s="3" t="s">
        <v>29</v>
      </c>
      <c r="L5" s="4">
        <v>903.48971428571406</v>
      </c>
    </row>
    <row r="6" spans="1:13" x14ac:dyDescent="0.35">
      <c r="A6" s="3" t="s">
        <v>20</v>
      </c>
      <c r="B6" s="3">
        <v>56</v>
      </c>
      <c r="C6" s="3"/>
      <c r="D6" s="3">
        <v>58</v>
      </c>
      <c r="E6" s="3">
        <v>2</v>
      </c>
      <c r="F6" s="3">
        <v>116</v>
      </c>
      <c r="H6" s="3" t="s">
        <v>13</v>
      </c>
      <c r="I6" s="4">
        <v>1311.1444444444455</v>
      </c>
      <c r="K6" s="3" t="s">
        <v>30</v>
      </c>
      <c r="L6" s="4">
        <v>787.27371428571473</v>
      </c>
    </row>
    <row r="7" spans="1:13" x14ac:dyDescent="0.35">
      <c r="A7" s="3" t="s">
        <v>13</v>
      </c>
      <c r="B7" s="3"/>
      <c r="C7" s="3">
        <v>117</v>
      </c>
      <c r="D7" s="3"/>
      <c r="E7" s="3"/>
      <c r="F7" s="3">
        <v>117</v>
      </c>
      <c r="H7" s="3" t="s">
        <v>17</v>
      </c>
      <c r="I7" s="4">
        <v>748.43247863247814</v>
      </c>
      <c r="K7" s="3" t="s">
        <v>25</v>
      </c>
      <c r="L7" s="4">
        <v>845.38171428571241</v>
      </c>
    </row>
    <row r="8" spans="1:13" x14ac:dyDescent="0.35">
      <c r="A8" s="3" t="s">
        <v>17</v>
      </c>
      <c r="B8" s="3">
        <v>51</v>
      </c>
      <c r="C8" s="3">
        <v>8</v>
      </c>
      <c r="D8" s="3">
        <v>58</v>
      </c>
      <c r="E8" s="3"/>
      <c r="F8" s="3">
        <v>117</v>
      </c>
      <c r="H8" s="3" t="s">
        <v>25</v>
      </c>
      <c r="I8" s="4">
        <v>845.38171428571593</v>
      </c>
      <c r="K8" s="12"/>
      <c r="L8" s="12"/>
    </row>
    <row r="9" spans="1:13" x14ac:dyDescent="0.35">
      <c r="A9" s="3" t="s">
        <v>25</v>
      </c>
      <c r="B9" s="3">
        <v>107</v>
      </c>
      <c r="C9" s="3">
        <v>125</v>
      </c>
      <c r="D9" s="3">
        <v>116</v>
      </c>
      <c r="E9" s="3">
        <v>2</v>
      </c>
      <c r="F9" s="3">
        <v>350</v>
      </c>
      <c r="H9" s="12"/>
      <c r="I9" s="12"/>
      <c r="K9" s="17" t="s">
        <v>46</v>
      </c>
      <c r="L9" s="17"/>
    </row>
    <row r="10" spans="1:13" x14ac:dyDescent="0.35">
      <c r="A10" s="12"/>
      <c r="B10" s="12"/>
      <c r="C10" s="12"/>
      <c r="D10" s="12"/>
      <c r="E10" s="12"/>
      <c r="F10" s="12"/>
      <c r="H10" s="12"/>
      <c r="I10" s="12"/>
      <c r="K10" s="15" t="s">
        <v>3</v>
      </c>
      <c r="L10" s="3" t="s">
        <v>50</v>
      </c>
    </row>
    <row r="11" spans="1:13" x14ac:dyDescent="0.35">
      <c r="A11" s="17" t="s">
        <v>41</v>
      </c>
      <c r="B11" s="17"/>
      <c r="C11" s="17"/>
      <c r="D11" s="17"/>
      <c r="E11" s="17"/>
      <c r="F11" s="17"/>
      <c r="H11" s="17" t="s">
        <v>44</v>
      </c>
      <c r="I11" s="17"/>
      <c r="K11" s="3" t="s">
        <v>19</v>
      </c>
      <c r="L11" s="4">
        <v>499.88275862068969</v>
      </c>
    </row>
    <row r="12" spans="1:13" x14ac:dyDescent="0.35">
      <c r="A12" s="15" t="s">
        <v>49</v>
      </c>
      <c r="B12" s="15" t="s">
        <v>10</v>
      </c>
      <c r="C12" s="3"/>
      <c r="D12" s="3"/>
      <c r="E12" s="3"/>
      <c r="F12" s="3"/>
      <c r="H12" s="15" t="s">
        <v>4</v>
      </c>
      <c r="I12" s="3" t="s">
        <v>51</v>
      </c>
      <c r="K12" s="3" t="s">
        <v>24</v>
      </c>
      <c r="L12" s="4">
        <v>446.89482758620665</v>
      </c>
    </row>
    <row r="13" spans="1:13" x14ac:dyDescent="0.35">
      <c r="A13" s="15" t="s">
        <v>8</v>
      </c>
      <c r="B13" s="3" t="s">
        <v>18</v>
      </c>
      <c r="C13" s="3" t="s">
        <v>14</v>
      </c>
      <c r="D13" s="3" t="s">
        <v>21</v>
      </c>
      <c r="E13" s="3" t="s">
        <v>27</v>
      </c>
      <c r="F13" s="3" t="s">
        <v>25</v>
      </c>
      <c r="H13" s="3" t="s">
        <v>20</v>
      </c>
      <c r="I13" s="16">
        <v>3.325000000000002</v>
      </c>
      <c r="K13" s="3" t="s">
        <v>16</v>
      </c>
      <c r="L13" s="4">
        <v>805.49152542372883</v>
      </c>
    </row>
    <row r="14" spans="1:13" x14ac:dyDescent="0.35">
      <c r="A14" s="3" t="s">
        <v>29</v>
      </c>
      <c r="B14" s="3">
        <v>107</v>
      </c>
      <c r="C14" s="3">
        <v>66</v>
      </c>
      <c r="D14" s="3"/>
      <c r="E14" s="3">
        <v>2</v>
      </c>
      <c r="F14" s="3">
        <v>175</v>
      </c>
      <c r="H14" s="3" t="s">
        <v>13</v>
      </c>
      <c r="I14" s="16">
        <v>4.6752136752136737</v>
      </c>
      <c r="K14" s="3" t="s">
        <v>23</v>
      </c>
      <c r="L14" s="4">
        <v>690.38965517241411</v>
      </c>
    </row>
    <row r="15" spans="1:13" x14ac:dyDescent="0.35">
      <c r="A15" s="3" t="s">
        <v>30</v>
      </c>
      <c r="B15" s="3"/>
      <c r="C15" s="3">
        <v>59</v>
      </c>
      <c r="D15" s="3">
        <v>116</v>
      </c>
      <c r="E15" s="3"/>
      <c r="F15" s="3">
        <v>175</v>
      </c>
      <c r="H15" s="3" t="s">
        <v>17</v>
      </c>
      <c r="I15" s="16">
        <v>4.0512820512820564</v>
      </c>
      <c r="K15" s="3" t="s">
        <v>12</v>
      </c>
      <c r="L15" s="4">
        <v>1165.0355932203393</v>
      </c>
    </row>
    <row r="16" spans="1:13" x14ac:dyDescent="0.35">
      <c r="A16" s="3" t="s">
        <v>25</v>
      </c>
      <c r="B16" s="3">
        <v>107</v>
      </c>
      <c r="C16" s="3">
        <v>125</v>
      </c>
      <c r="D16" s="3">
        <v>116</v>
      </c>
      <c r="E16" s="3">
        <v>2</v>
      </c>
      <c r="F16" s="3">
        <v>350</v>
      </c>
      <c r="H16" s="3" t="s">
        <v>25</v>
      </c>
      <c r="I16" s="3">
        <v>4.0191428571428469</v>
      </c>
      <c r="K16" s="3" t="s">
        <v>22</v>
      </c>
      <c r="L16" s="4">
        <v>1459.7724137931039</v>
      </c>
    </row>
    <row r="17" spans="11:12" x14ac:dyDescent="0.35">
      <c r="K17" s="3" t="s">
        <v>25</v>
      </c>
      <c r="L17" s="4">
        <v>845.38171428571252</v>
      </c>
    </row>
  </sheetData>
  <mergeCells count="14">
    <mergeCell ref="A1:L1"/>
    <mergeCell ref="A3:F3"/>
    <mergeCell ref="A11:F11"/>
    <mergeCell ref="H3:I3"/>
    <mergeCell ref="K3:L3"/>
    <mergeCell ref="A2:F2"/>
    <mergeCell ref="H2:I2"/>
    <mergeCell ref="A10:F10"/>
    <mergeCell ref="H11:I11"/>
    <mergeCell ref="K2:L2"/>
    <mergeCell ref="K9:L9"/>
    <mergeCell ref="K8:L8"/>
    <mergeCell ref="H9:I9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 Raw data</vt:lpstr>
      <vt:lpstr>02 Dataset Profile</vt:lpstr>
      <vt:lpstr>03 Descriptive Statistics</vt:lpstr>
      <vt:lpstr>04 Relationship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Tayal</dc:creator>
  <cp:lastModifiedBy>Muskan Tayal</cp:lastModifiedBy>
  <dcterms:created xsi:type="dcterms:W3CDTF">2026-07-06T06:43:18Z</dcterms:created>
  <dcterms:modified xsi:type="dcterms:W3CDTF">2026-07-13T11:29:20Z</dcterms:modified>
</cp:coreProperties>
</file>